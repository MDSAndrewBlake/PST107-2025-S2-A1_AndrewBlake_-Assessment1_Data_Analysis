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defaultThemeVersion="166925"/>
  <mc:AlternateContent xmlns:mc="http://schemas.openxmlformats.org/markup-compatibility/2006">
    <mc:Choice Requires="x15">
      <x15ac:absPath xmlns:x15ac="http://schemas.microsoft.com/office/spreadsheetml/2010/11/ac" url="Y:\SocPopStats\Population Statistics\PEP_Users\Estimated Resident Pop 2023-base\dissemination\graphs &amp; excel tables\tables\"/>
    </mc:Choice>
  </mc:AlternateContent>
  <xr:revisionPtr revIDLastSave="0" documentId="13_ncr:1_{E877CDC6-3A5D-41DB-A6FF-A34B4EB5D722}" xr6:coauthVersionLast="47" xr6:coauthVersionMax="47" xr10:uidLastSave="{00000000-0000-0000-0000-000000000000}"/>
  <bookViews>
    <workbookView xWindow="-98" yWindow="-98" windowWidth="21795" windowHeight="13875" xr2:uid="{00000000-000D-0000-FFFF-FFFF00000000}"/>
  </bookViews>
  <sheets>
    <sheet name="Contents" sheetId="1" r:id="rId1"/>
    <sheet name="Table 1" sheetId="2" r:id="rId2"/>
    <sheet name="Table 2" sheetId="3" r:id="rId3"/>
    <sheet name="Table 3" sheetId="4" r:id="rId4"/>
    <sheet name="Table 4" sheetId="7" r:id="rId5"/>
    <sheet name="Table 5" sheetId="5" r:id="rId6"/>
    <sheet name="Table 6" sheetId="8" r:id="rId7"/>
  </sheets>
  <definedNames>
    <definedName name="_xlnm.Print_Titles" localSheetId="1">'Table 1'!$1:$8</definedName>
    <definedName name="_xlnm.Print_Titles" localSheetId="2">'Table 2'!$1:$8</definedName>
    <definedName name="_xlnm.Print_Titles" localSheetId="3">'Table 3'!$1:$7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39" i="5" l="1"/>
  <c r="I49" i="5"/>
  <c r="E49" i="5"/>
  <c r="E39" i="5"/>
  <c r="I39" i="5"/>
  <c r="G49" i="5"/>
  <c r="H49" i="5" s="1"/>
  <c r="C49" i="5"/>
  <c r="D49" i="5" s="1"/>
  <c r="G39" i="5"/>
  <c r="C39" i="5"/>
  <c r="D39" i="5" s="1"/>
</calcChain>
</file>

<file path=xl/sharedStrings.xml><?xml version="1.0" encoding="utf-8"?>
<sst xmlns="http://schemas.openxmlformats.org/spreadsheetml/2006/main" count="468" uniqueCount="235">
  <si>
    <t/>
  </si>
  <si>
    <t>List of tables</t>
  </si>
  <si>
    <t>1</t>
  </si>
  <si>
    <t>2</t>
  </si>
  <si>
    <t>3</t>
  </si>
  <si>
    <t>4</t>
  </si>
  <si>
    <t>5</t>
  </si>
  <si>
    <t>Find more data on Infoshare</t>
  </si>
  <si>
    <t>Use Infoshare, a free, online database to access time-series data specific to your needs:</t>
  </si>
  <si>
    <t>To access related time series on Infoshare, select the following categories from the homepage:</t>
  </si>
  <si>
    <t>Subject category: Population</t>
  </si>
  <si>
    <t>Group: Population Estimates – DPE</t>
  </si>
  <si>
    <t>The time series can be downloaded in Excel or comma delimited format.</t>
  </si>
  <si>
    <t>Tables available:</t>
  </si>
  <si>
    <t>Customised data</t>
  </si>
  <si>
    <t>Customised data can also be produced for clients. For more information and quotes:</t>
  </si>
  <si>
    <t>Email:</t>
  </si>
  <si>
    <t>info@stats.govt.nz</t>
  </si>
  <si>
    <t>Phone:</t>
  </si>
  <si>
    <t>0508 525 525 (toll free)</t>
  </si>
  <si>
    <t>Published by Stats NZ</t>
  </si>
  <si>
    <t>www.stats.govt.nz</t>
  </si>
  <si>
    <t>Table 1</t>
  </si>
  <si>
    <t>Estimated population by sex</t>
  </si>
  <si>
    <t>Year ended 31 December</t>
  </si>
  <si>
    <t>Year</t>
  </si>
  <si>
    <t>Population at 31 December</t>
  </si>
  <si>
    <t>Estimated increase/ decrease during year</t>
  </si>
  <si>
    <t>Mean population for year ended 31 December</t>
  </si>
  <si>
    <t>Males</t>
  </si>
  <si>
    <t>Females</t>
  </si>
  <si>
    <t>Total</t>
  </si>
  <si>
    <t>Number</t>
  </si>
  <si>
    <t>Percent</t>
  </si>
  <si>
    <r>
      <t>Estimated de facto population</t>
    </r>
    <r>
      <rPr>
        <b/>
        <vertAlign val="superscript"/>
        <sz val="8"/>
        <rFont val="Arial"/>
        <family val="2"/>
      </rPr>
      <t>2</t>
    </r>
  </si>
  <si>
    <r>
      <t>Estimated resident population</t>
    </r>
    <r>
      <rPr>
        <b/>
        <vertAlign val="superscript"/>
        <sz val="8"/>
        <rFont val="Arial"/>
        <family val="2"/>
      </rPr>
      <t>3</t>
    </r>
  </si>
  <si>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</si>
  <si>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</si>
  <si>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</si>
  <si>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</si>
  <si>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</si>
  <si>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</si>
  <si>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</si>
  <si>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</si>
  <si>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</si>
  <si>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</si>
  <si>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</si>
  <si>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</si>
  <si>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</si>
  <si>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</si>
  <si>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</si>
  <si>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</si>
  <si>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</si>
  <si>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</si>
  <si>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</si>
  <si>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</si>
  <si>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</si>
  <si>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</si>
  <si>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1. Number of males per 100 females.</t>
  </si>
  <si>
    <t>3. The estimated resident population is based on the census usually resident population count, updated for residents missed or counted more than once by the census (net census undercount); residents temporarily overseas on census night; and births, deaths, and net migration between census night and the date of the estimate.</t>
  </si>
  <si>
    <t>Notes:</t>
  </si>
  <si>
    <t>Estimates from 1991 onwards are not strictly comparable with estimates for earlier years, due to conceptual differences.</t>
  </si>
  <si>
    <t>Due to rounding, individual figures may not always sum to the stated total(s).</t>
  </si>
  <si>
    <t>Derived figures have been calculated using data of greater precision than that published.</t>
  </si>
  <si>
    <t>Symbols:</t>
  </si>
  <si>
    <t>P provisional, R revised</t>
  </si>
  <si>
    <t>Table 2</t>
  </si>
  <si>
    <t>Year ended 30 June</t>
  </si>
  <si>
    <t>Population at 30 June</t>
  </si>
  <si>
    <r>
      <t>Sex ratio at 30 June</t>
    </r>
    <r>
      <rPr>
        <vertAlign val="superscript"/>
        <sz val="8"/>
        <rFont val="Arial"/>
        <family val="2"/>
      </rPr>
      <t>1</t>
    </r>
  </si>
  <si>
    <t>Mean population for year ended 30 June</t>
  </si>
  <si>
    <t>..</t>
  </si>
  <si>
    <t>2013</t>
  </si>
  <si>
    <t>P provisional, R revised, .. not available</t>
  </si>
  <si>
    <t>Table 3</t>
  </si>
  <si>
    <t>Components of population change</t>
  </si>
  <si>
    <r>
      <t>Natural increase</t>
    </r>
    <r>
      <rPr>
        <vertAlign val="superscript"/>
        <sz val="8"/>
        <rFont val="Arial"/>
        <family val="2"/>
      </rPr>
      <t>1</t>
    </r>
  </si>
  <si>
    <r>
      <t>Net migration</t>
    </r>
    <r>
      <rPr>
        <vertAlign val="superscript"/>
        <sz val="8"/>
        <rFont val="Arial"/>
        <family val="2"/>
      </rPr>
      <t>2</t>
    </r>
  </si>
  <si>
    <r>
      <t>Intercensal adjustment</t>
    </r>
    <r>
      <rPr>
        <vertAlign val="superscript"/>
        <sz val="8"/>
        <rFont val="Arial"/>
        <family val="2"/>
      </rPr>
      <t>3</t>
    </r>
  </si>
  <si>
    <r>
      <t>Annual population change</t>
    </r>
    <r>
      <rPr>
        <vertAlign val="superscript"/>
        <sz val="8"/>
        <rFont val="Arial"/>
        <family val="2"/>
      </rPr>
      <t>4</t>
    </r>
  </si>
  <si>
    <r>
      <t>Estimated de facto population</t>
    </r>
    <r>
      <rPr>
        <b/>
        <vertAlign val="superscript"/>
        <sz val="8"/>
        <rFont val="Arial"/>
        <family val="2"/>
      </rPr>
      <t>5</t>
    </r>
  </si>
  <si>
    <r>
      <t>Estimated resident population</t>
    </r>
    <r>
      <rPr>
        <b/>
        <vertAlign val="superscript"/>
        <sz val="8"/>
        <rFont val="Arial"/>
        <family val="2"/>
      </rPr>
      <t>6</t>
    </r>
  </si>
  <si>
    <t>1. For the estimated de facto population, excess of registered births over registered deaths. For the estimated resident population, excess of estimated births over estimated deaths (both by date of occurrence).</t>
  </si>
  <si>
    <t>3. The difference between two population estimates that arises from errors in the census-based estimates and/or components of change. The adjustment is calculated at the end of each intercensal period.</t>
  </si>
  <si>
    <t>4. From population estimates. Population change for the June 1991 year is not available, as resident population estimates have only been revised back to 31 March 1991.</t>
  </si>
  <si>
    <t>5. The estimated de facto population is based on the census night population count, updated for births, deaths, and net migration between census night and the date of the estimate. De facto population estimates include visitors from overseas, but exclude New Zealand residents who are temporarily overseas.</t>
  </si>
  <si>
    <t>6. The estimated resident population is based on the census usually resident population count, updated for residents missed or counted more than once by the census (net census undercount); residents temporarily overseas on census night; and births, deaths, and net migration between census night and the date of the estimate.</t>
  </si>
  <si>
    <t>Note: Due to rounding, individual figures may not always sum to the stated total(s).</t>
  </si>
  <si>
    <t>Table 4</t>
  </si>
  <si>
    <t>Estimated resident population of New Zealand</t>
  </si>
  <si>
    <t>By broad age group and sex</t>
  </si>
  <si>
    <t>At 30 June</t>
  </si>
  <si>
    <t>Age group (years)</t>
  </si>
  <si>
    <t>Median age
(years)</t>
  </si>
  <si>
    <t>All ages</t>
  </si>
  <si>
    <t>Under 15</t>
  </si>
  <si>
    <t>15–39</t>
  </si>
  <si>
    <t>40–64</t>
  </si>
  <si>
    <t>65+</t>
  </si>
  <si>
    <t>R</t>
  </si>
  <si>
    <t>2014</t>
  </si>
  <si>
    <t>2015</t>
  </si>
  <si>
    <t>2016</t>
  </si>
  <si>
    <t>2017</t>
  </si>
  <si>
    <t>2018</t>
  </si>
  <si>
    <t>2019</t>
  </si>
  <si>
    <t>2020</t>
  </si>
  <si>
    <t>R P</t>
  </si>
  <si>
    <t xml:space="preserve">P </t>
  </si>
  <si>
    <t>provisional</t>
  </si>
  <si>
    <t>revised</t>
  </si>
  <si>
    <t>Table 5</t>
  </si>
  <si>
    <t>Total and Māori populations</t>
  </si>
  <si>
    <t>Census date</t>
  </si>
  <si>
    <t>Total population</t>
  </si>
  <si>
    <t>Māori population⁽¹⁾</t>
  </si>
  <si>
    <t>Population</t>
  </si>
  <si>
    <t>Intercensal increase</t>
  </si>
  <si>
    <t>Intercensal increase/decrease</t>
  </si>
  <si>
    <t>Average annual (percent)</t>
  </si>
  <si>
    <t>Census night population count⁽²⁾</t>
  </si>
  <si>
    <t>24 Dec 1858</t>
  </si>
  <si>
    <t>1 Mar 1874</t>
  </si>
  <si>
    <t>...</t>
  </si>
  <si>
    <t>3 Mar 1878</t>
  </si>
  <si>
    <t>3 Apr 1881</t>
  </si>
  <si>
    <t>28 Mar 1886</t>
  </si>
  <si>
    <t>5 Apr 1891</t>
  </si>
  <si>
    <t>12 Apr 1896</t>
  </si>
  <si>
    <t>31 Mar 1901</t>
  </si>
  <si>
    <t>29 Apr 1906</t>
  </si>
  <si>
    <t>2 Apr 1911</t>
  </si>
  <si>
    <t>15 Oct 1916</t>
  </si>
  <si>
    <t>17 Apr 1921</t>
  </si>
  <si>
    <t>20 Apr 1926</t>
  </si>
  <si>
    <t>24 Mar 1936</t>
  </si>
  <si>
    <t>25 Sep 1945</t>
  </si>
  <si>
    <t>17 Apr 1951</t>
  </si>
  <si>
    <t>17 Apr 1956</t>
  </si>
  <si>
    <t>18 Apr 1961</t>
  </si>
  <si>
    <t>22 Mar 1966</t>
  </si>
  <si>
    <t>23 Mar 1971</t>
  </si>
  <si>
    <t>23 Mar 1976</t>
  </si>
  <si>
    <t>24 Mar 1981</t>
  </si>
  <si>
    <t>4 Mar 1986</t>
  </si>
  <si>
    <t>5 Mar 1991</t>
  </si>
  <si>
    <t>5 Mar 1996</t>
  </si>
  <si>
    <t>6 Mar 2001</t>
  </si>
  <si>
    <t>7 Mar 2006</t>
  </si>
  <si>
    <t>5 Mar 2013</t>
  </si>
  <si>
    <t>6 Mar 2018</t>
  </si>
  <si>
    <t>Census usually resident population count⁽³⁾</t>
  </si>
  <si>
    <t>with caution. This series is as consistent as possible with the current definition of ethnicity.</t>
  </si>
  <si>
    <t>2. New Zealand residents and overseas visitors counted in New Zealand at each census.</t>
  </si>
  <si>
    <t>3. New Zealand residents counted in New Zealand at each census. These figures exclude residents temporarily overseas on</t>
  </si>
  <si>
    <t>census night and make no adjustment for under-enumeration at each census, and therefore differ from the estimated</t>
  </si>
  <si>
    <t>resident population presented in tables 1–3.</t>
  </si>
  <si>
    <t>Note: This table omits censuses of 1851, 1861, 1864, 1867, and 1871, as Māori censuses were not taken in those years. All</t>
  </si>
  <si>
    <t>census figures have been randomly rounded to base 3.</t>
  </si>
  <si>
    <t>.. not available</t>
  </si>
  <si>
    <t>... not applicable</t>
  </si>
  <si>
    <r>
      <rPr>
        <b/>
        <sz val="8"/>
        <rFont val="Arial"/>
        <family val="2"/>
      </rPr>
      <t>Source</t>
    </r>
    <r>
      <rPr>
        <sz val="8"/>
        <rFont val="Arial"/>
        <family val="2"/>
      </rPr>
      <t>: Stats NZ</t>
    </r>
  </si>
  <si>
    <t>7 Mar 2023</t>
  </si>
  <si>
    <t>1958–2023 Censuses of Population and Dwellings</t>
  </si>
  <si>
    <t>2021</t>
  </si>
  <si>
    <t>2022</t>
  </si>
  <si>
    <t>2023</t>
  </si>
  <si>
    <t>2024</t>
  </si>
  <si>
    <t>Intercensal estimates between June 2018 and June 2023 have been revised to reconcile with the 2023-base estimated resident population.</t>
  </si>
  <si>
    <t>Population estimates after June 2023 are now based on the 2023-base estimated resident population, superseding earlier 2018-based estimates.</t>
  </si>
  <si>
    <t>2019 R</t>
  </si>
  <si>
    <t>2020 R</t>
  </si>
  <si>
    <t>2021 R</t>
  </si>
  <si>
    <t>2022 R</t>
  </si>
  <si>
    <t>2023 R</t>
  </si>
  <si>
    <t>2024 R P</t>
  </si>
  <si>
    <t>1961–2024</t>
  </si>
  <si>
    <t>1937–2024</t>
  </si>
  <si>
    <t>Estimated resident population (2023-base): At 30 June 2023</t>
  </si>
  <si>
    <t>Estimated population by sex, 1937–2024, year ended 30 June</t>
  </si>
  <si>
    <t>Components of population change, 1961–2024, year ended 30 June</t>
  </si>
  <si>
    <t>Total and Māori populations, 1858–2023 Censuses of Population and Dwellings</t>
  </si>
  <si>
    <t>1926–2024</t>
  </si>
  <si>
    <t>Estimated population by sex, 1926–2024, year ended 31 December</t>
  </si>
  <si>
    <t>Table 6</t>
  </si>
  <si>
    <t>Another gender</t>
  </si>
  <si>
    <t>05-09</t>
  </si>
  <si>
    <t>10-14</t>
  </si>
  <si>
    <t>15-19</t>
  </si>
  <si>
    <t>20-24</t>
  </si>
  <si>
    <t>25-29</t>
  </si>
  <si>
    <t>30-34</t>
  </si>
  <si>
    <t>35-39</t>
  </si>
  <si>
    <t>40-44</t>
  </si>
  <si>
    <t>45-49</t>
  </si>
  <si>
    <t>50-54</t>
  </si>
  <si>
    <t>55-59</t>
  </si>
  <si>
    <t>60-64</t>
  </si>
  <si>
    <t>Male</t>
  </si>
  <si>
    <t>Female</t>
  </si>
  <si>
    <t>Population at 7 March 2023</t>
  </si>
  <si>
    <t>Percent of the population</t>
  </si>
  <si>
    <t>Estimated resident population 2023(base) available on Aotearoa Data Explorer</t>
  </si>
  <si>
    <t>Use ADE, a free, online database:</t>
  </si>
  <si>
    <t>ADE (https://explore.data.stats.govt.nz/).</t>
  </si>
  <si>
    <t>To access estimated resident population data on ADE, select the following categories from the homepage:</t>
  </si>
  <si>
    <t>Data by theme: Society</t>
  </si>
  <si>
    <t xml:space="preserve">                          Population estimates</t>
  </si>
  <si>
    <t>16 April 2025</t>
  </si>
  <si>
    <t>Estimated resident population (ERP), national population by ethnic group, age, and sex, 30 June 1996, 2001, 2006, 2013, 2018 and 2023</t>
  </si>
  <si>
    <t>Estimated resident population (ERP), subnational population by ethnic group, age, and sex, 30 June 1996, 2001, 2006, 2013, 2018 and 2023</t>
  </si>
  <si>
    <t>Estimated resident population (ERP), adjustments to derive ERP at 30 June 2023 (from census usually resident population)</t>
  </si>
  <si>
    <r>
      <t>Age group (years)</t>
    </r>
    <r>
      <rPr>
        <vertAlign val="superscript"/>
        <sz val="8"/>
        <rFont val="Arial Mäori"/>
      </rPr>
      <t>(1)</t>
    </r>
  </si>
  <si>
    <r>
      <t>By five-year age groups</t>
    </r>
    <r>
      <rPr>
        <vertAlign val="superscript"/>
        <sz val="10"/>
        <rFont val="Arial Mäori"/>
      </rPr>
      <t>(1)</t>
    </r>
    <r>
      <rPr>
        <sz val="10"/>
        <rFont val="Arial Mäori"/>
        <family val="2"/>
      </rPr>
      <t xml:space="preserve"> and gender</t>
    </r>
    <r>
      <rPr>
        <vertAlign val="superscript"/>
        <sz val="10"/>
        <rFont val="Arial Mäori"/>
      </rPr>
      <t>(2)</t>
    </r>
  </si>
  <si>
    <r>
      <rPr>
        <sz val="8"/>
        <rFont val="Arial"/>
        <family val="2"/>
      </rPr>
      <t xml:space="preserve">2. Gender refers to a person’s social and personal identity as male, female, or another gender or genders that may be non-binary. </t>
    </r>
    <r>
      <rPr>
        <u/>
        <sz val="8"/>
        <color rgb="FF0000EE"/>
        <rFont val="Arial"/>
        <family val="2"/>
      </rPr>
      <t>Gender – 2023 Census: Information by concept</t>
    </r>
    <r>
      <rPr>
        <u/>
        <sz val="8"/>
        <color theme="10"/>
        <rFont val="Arial"/>
        <family val="2"/>
      </rPr>
      <t xml:space="preserve"> </t>
    </r>
    <r>
      <rPr>
        <sz val="8"/>
        <rFont val="Arial"/>
        <family val="2"/>
      </rPr>
      <t>has more information.</t>
    </r>
  </si>
  <si>
    <r>
      <t>Sex ratio at 31 December</t>
    </r>
    <r>
      <rPr>
        <vertAlign val="superscript"/>
        <sz val="8"/>
        <rFont val="Arial"/>
        <family val="2"/>
      </rPr>
      <t>(1)</t>
    </r>
  </si>
  <si>
    <r>
      <t>Estimated de facto population</t>
    </r>
    <r>
      <rPr>
        <b/>
        <vertAlign val="superscript"/>
        <sz val="8"/>
        <rFont val="Arial"/>
        <family val="2"/>
      </rPr>
      <t>(2)</t>
    </r>
  </si>
  <si>
    <r>
      <t>Estimated resident population</t>
    </r>
    <r>
      <rPr>
        <b/>
        <vertAlign val="superscript"/>
        <sz val="8"/>
        <rFont val="Arial"/>
        <family val="2"/>
      </rPr>
      <t>(3)</t>
    </r>
  </si>
  <si>
    <t>2018 R</t>
  </si>
  <si>
    <t>2023 R P</t>
  </si>
  <si>
    <t>2. For the estimated de facto population, excess of total arrivals over total departures. Excludes armed forces before 1987. For the estimated resident population, excess of permanent and long-term arrivals over permanent and long-term departures for 1992–2013; and excess of estimated migrant arrivals over estimated migrant departures for 2014–2024. A minus sign denotes an excess of departures over arrivals. These migration estimates may differ slightly from other published migration estimates because of differences in the timing of when the migration estimates are calculated.</t>
  </si>
  <si>
    <t>00-04</t>
  </si>
  <si>
    <r>
      <t>At 7 March 2023</t>
    </r>
    <r>
      <rPr>
        <vertAlign val="superscript"/>
        <sz val="10"/>
        <rFont val="Arial Mäori"/>
      </rPr>
      <t>(3)</t>
    </r>
  </si>
  <si>
    <t>3. The estimated resident population at census night is a preliminary estimate because it has yet to undergo the demographic changes between census night and 30 June, and the demographic reconciliation at 30 June, to derive the final ERP.</t>
  </si>
  <si>
    <t>Estimated Māori descent resident population, at 30 June 2001, 2006, 2013, 2018, and 2023</t>
  </si>
  <si>
    <t>Preliminary estimated resident population of New Zealand</t>
  </si>
  <si>
    <t>Preliminary estimated population by five-year age groups and gender, at 7 March 2023</t>
  </si>
  <si>
    <t>Infoshare (http://infoshare.stats.govt.nz).</t>
  </si>
  <si>
    <t>More information about Infoshare (https://www.stats.govt.nz/tools/stats-infoshare/).</t>
  </si>
  <si>
    <t>2. De facto population estimates include all people present in New Zealand and counted by the census (census night population count). De facto estimates include visitors from overseas who are counted on census night, but exclude New Zealand residents who are temporarily overseas. The estimated de facto population at a given date after census includes births, deaths, and net migration (arrivals less departures) of people during the period between census night and the given date. De facto population estimates are no longer produced.</t>
  </si>
  <si>
    <t>Population estimates are revised following each census of population and dwellings. The difference between annual population change and the sum of natural increase (births less deaths) and net migration is due to intercensal adjustments.</t>
  </si>
  <si>
    <t>At 30 June 2018–2024</t>
  </si>
  <si>
    <t>Estimated resident population of New Zealand, by broad age group and sex, at 30 June 2018–2024</t>
  </si>
  <si>
    <t>1. Because of reporting and definitional changes over time, such as between 1921 and 1926, this series should be treated</t>
  </si>
  <si>
    <t>1. Ages 65 years and older have been grouped due to small numbers of people in the another gender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</si>
</sst>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_(* #,##0_);_(* \(#,##0\);_(* &quot;-&quot;??_);_(@_)"/>
    <numFmt numFmtId="166" formatCode="0.0"/>
    <numFmt numFmtId="167" formatCode="@\ \ \ \ "/>
  </numFmts>
  <fonts count="33">
    <font>
      <sz val="11"/>
      <color indexed="8"/>
      <name val="Calibri"/>
      <family val="2"/>
      <scheme val="minor"/>
    </font>
    <font>
      <sz val="11"/>
      <color theme="1"/>
      <name val="Calibri"/>
      <family val="2"/>
      <scheme val="minor"/>
    </font>
    <font>
      <b/>
      <sz val="12"/>
      <name val="Arial"/>
      <family val="2"/>
    </font>
    <font>
      <b/>
      <sz val="11"/>
      <name val="Arial"/>
      <family val="2"/>
    </font>
    <font>
      <sz val="10"/>
      <name val="Arial"/>
      <family val="2"/>
    </font>
    <font>
      <b/>
      <sz val="10"/>
      <name val="Arial"/>
      <family val="2"/>
    </font>
    <font>
      <u/>
      <sz val="10"/>
      <color rgb="FF0000FF"/>
      <name val="Arial"/>
      <family val="2"/>
    </font>
    <font>
      <sz val="8"/>
      <name val="Arial"/>
      <family val="2"/>
    </font>
    <font>
      <b/>
      <sz val="8"/>
      <name val="Arial"/>
      <family val="2"/>
    </font>
    <font>
      <sz val="10"/>
      <name val="Times New Roman"/>
      <family val="1"/>
    </font>
    <font>
      <sz val="10"/>
      <name val="Arial Mäori"/>
      <family val="2"/>
    </font>
    <font>
      <b/>
      <sz val="10"/>
      <name val="Arial Mäori"/>
      <family val="2"/>
    </font>
    <font>
      <sz val="8"/>
      <name val="Arial Mäori"/>
      <family val="2"/>
    </font>
    <font>
      <b/>
      <sz val="8"/>
      <name val="Arial Mäori"/>
      <family val="2"/>
    </font>
    <font>
      <b/>
      <sz val="11"/>
      <name val="Arial Mäori"/>
      <family val="2"/>
    </font>
    <font>
      <sz val="11"/>
      <name val="Arial Mäori"/>
      <family val="2"/>
    </font>
    <font>
      <u/>
      <sz val="10"/>
      <color indexed="12"/>
      <name val="Arial"/>
      <family val="2"/>
    </font>
    <font>
      <u/>
      <sz val="10"/>
      <color theme="10"/>
      <name val="Arial"/>
      <family val="2"/>
    </font>
    <font>
      <sz val="10"/>
      <color theme="1"/>
      <name val="Arial Mäori"/>
      <family val="2"/>
    </font>
    <font>
      <b/>
      <sz val="10"/>
      <color rgb="FFFF0000"/>
      <name val="Arial Mäori"/>
      <family val="2"/>
    </font>
    <font>
      <vertAlign val="superscript"/>
      <sz val="8"/>
      <name val="Arial"/>
      <family val="2"/>
    </font>
    <font>
      <b/>
      <vertAlign val="superscript"/>
      <sz val="8"/>
      <name val="Arial"/>
      <family val="2"/>
    </font>
    <font>
      <sz val="8"/>
      <name val="Calibri"/>
      <family val="2"/>
      <scheme val="minor"/>
    </font>
    <font>
      <sz val="10"/>
      <color indexed="8"/>
      <name val="Calibri"/>
      <family val="2"/>
      <scheme val="minor"/>
    </font>
    <font>
      <sz val="8"/>
      <color rgb="FF000000"/>
      <name val="Arial"/>
      <family val="2"/>
    </font>
    <font>
      <sz val="8"/>
      <color rgb="FFFF0000"/>
      <name val="Arial"/>
      <family val="2"/>
    </font>
    <font>
      <sz val="10"/>
      <color rgb="FFFF0000"/>
      <name val="Arial"/>
      <family val="2"/>
    </font>
    <font>
      <u/>
      <sz val="11"/>
      <color theme="10"/>
      <name val="Calibri"/>
      <family val="2"/>
      <scheme val="minor"/>
    </font>
    <font>
      <vertAlign val="superscript"/>
      <sz val="8"/>
      <name val="Arial Mäori"/>
    </font>
    <font>
      <vertAlign val="superscript"/>
      <sz val="10"/>
      <name val="Arial Mäori"/>
    </font>
    <font>
      <u/>
      <sz val="8"/>
      <color theme="10"/>
      <name val="Arial"/>
      <family val="2"/>
    </font>
    <font>
      <u/>
      <sz val="8"/>
      <color rgb="FF0000EE"/>
      <name val="Arial"/>
      <family val="2"/>
    </font>
    <font>
      <sz val="11"/>
      <color indexed="8"/>
      <name val="Arial"/>
      <family val="2"/>
    </font>
  </fonts>
  <fills count="5">
    <fill>
      <patternFill patternType="none"/>
    </fill>
    <fill>
      <patternFill patternType="gray125"/>
    </fill>
    <fill>
      <patternFill patternType="solid">
        <fgColor rgb="FFD9D9D9"/>
        <bgColor rgb="FFD9D9D9"/>
      </patternFill>
    </fill>
    <fill>
      <patternFill patternType="solid">
        <fgColor indexed="22"/>
        <bgColor indexed="64"/>
      </patternFill>
    </fill>
    <fill>
      <patternFill patternType="solid">
        <fgColor theme="0"/>
        <bgColor indexed="64"/>
      </patternFill>
    </fill>
  </fills>
  <borders count="13">
    <border>
      <left/>
      <right/>
      <top/>
      <bottom/>
      <diagonal/>
    </border>
    <border>
      <left/>
      <right/>
      <top/>
      <bottom style="thin">
        <color auto="1"/>
      </bottom>
      <diagonal/>
    </border>
    <border>
      <left/>
      <right/>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s>
  <cellStyleXfs count="116">
    <xf numFmtId="0" fontId="0"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16"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18" fillId="0" borderId="0"/>
    <xf numFmtId="0" fontId="9" fillId="0" borderId="0"/>
    <xf numFmtId="0" fontId="9" fillId="0" borderId="0"/>
    <xf numFmtId="0" fontId="9" fillId="0" borderId="0"/>
    <xf numFmtId="0" fontId="18" fillId="0" borderId="0"/>
    <xf numFmtId="0" fontId="9" fillId="0" borderId="0"/>
    <xf numFmtId="0" fontId="18" fillId="0" borderId="0"/>
    <xf numFmtId="0" fontId="18" fillId="0" borderId="0"/>
    <xf numFmtId="0" fontId="18" fillId="0" borderId="0"/>
    <xf numFmtId="0" fontId="9" fillId="0" borderId="0"/>
    <xf numFmtId="0" fontId="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9" fillId="0" borderId="0"/>
    <xf numFmtId="0" fontId="18" fillId="0" borderId="0"/>
    <xf numFmtId="0" fontId="9" fillId="0" borderId="0"/>
    <xf numFmtId="0" fontId="9" fillId="0" borderId="0"/>
    <xf numFmtId="0" fontId="9" fillId="0" borderId="0"/>
    <xf numFmtId="0" fontId="18" fillId="0" borderId="0"/>
    <xf numFmtId="0" fontId="18" fillId="0" borderId="0"/>
    <xf numFmtId="0" fontId="9" fillId="0" borderId="0"/>
    <xf numFmtId="0" fontId="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7" fillId="0" borderId="0"/>
    <xf numFmtId="0" fontId="7"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7" fillId="0" borderId="0" applyNumberFormat="0" applyFill="0" applyBorder="0" applyAlignment="0" applyProtection="0"/>
  </cellStyleXfs>
  <cellXfs count="97">
    <xf numFmtId="0" fontId="0" fillId="0" borderId="0" xfId="0"/>
    <xf numFmtId="0" fontId="4" fillId="0" borderId="0" xfId="0" applyFont="1"/>
    <xf numFmtId="0" fontId="6" fillId="0" borderId="0" xfId="0" applyFont="1"/>
    <xf numFmtId="0" fontId="7" fillId="0" borderId="0" xfId="0" applyFont="1"/>
    <xf numFmtId="0" fontId="3" fillId="0" borderId="0" xfId="0" applyFont="1"/>
    <xf numFmtId="0" fontId="2" fillId="0" borderId="0" xfId="0" applyFont="1"/>
    <xf numFmtId="0" fontId="5" fillId="0" borderId="0" xfId="0" applyFont="1"/>
    <xf numFmtId="0" fontId="8" fillId="0" borderId="0" xfId="0" applyFont="1"/>
    <xf numFmtId="0" fontId="7" fillId="0" borderId="3" xfId="0" applyFont="1" applyBorder="1" applyAlignment="1">
      <alignment horizontal="center" vertical="center" wrapText="1"/>
    </xf>
    <xf numFmtId="0" fontId="7" fillId="0" borderId="0" xfId="0" applyFont="1" applyAlignment="1">
      <alignment horizontal="right" indent="2"/>
    </xf>
    <xf numFmtId="0" fontId="9" fillId="0" borderId="0" xfId="6"/>
    <xf numFmtId="0" fontId="10" fillId="0" borderId="0" xfId="6" applyFont="1"/>
    <xf numFmtId="0" fontId="11" fillId="0" borderId="0" xfId="6" applyFont="1"/>
    <xf numFmtId="0" fontId="10" fillId="0" borderId="1" xfId="6" applyFont="1" applyBorder="1"/>
    <xf numFmtId="0" fontId="13" fillId="0" borderId="0" xfId="6" applyFont="1"/>
    <xf numFmtId="49" fontId="12" fillId="0" borderId="0" xfId="6" applyNumberFormat="1" applyFont="1" applyAlignment="1">
      <alignment horizontal="left"/>
    </xf>
    <xf numFmtId="49" fontId="10" fillId="0" borderId="0" xfId="6" applyNumberFormat="1" applyFont="1"/>
    <xf numFmtId="165" fontId="10" fillId="0" borderId="0" xfId="3" applyNumberFormat="1" applyFont="1"/>
    <xf numFmtId="3" fontId="10" fillId="0" borderId="0" xfId="3" applyNumberFormat="1" applyFont="1" applyAlignment="1">
      <alignment horizontal="center"/>
    </xf>
    <xf numFmtId="49" fontId="12" fillId="0" borderId="0" xfId="6" applyNumberFormat="1" applyFont="1"/>
    <xf numFmtId="165" fontId="12" fillId="0" borderId="0" xfId="3" applyNumberFormat="1" applyFont="1"/>
    <xf numFmtId="166" fontId="10" fillId="0" borderId="0" xfId="6" applyNumberFormat="1" applyFont="1"/>
    <xf numFmtId="3" fontId="10" fillId="0" borderId="1" xfId="6" applyNumberFormat="1" applyFont="1" applyBorder="1" applyAlignment="1">
      <alignment horizontal="center"/>
    </xf>
    <xf numFmtId="0" fontId="12" fillId="0" borderId="4" xfId="6" applyFont="1" applyBorder="1" applyAlignment="1">
      <alignment horizontal="center" vertical="center" wrapText="1"/>
    </xf>
    <xf numFmtId="0" fontId="12" fillId="0" borderId="4" xfId="6" applyFont="1" applyBorder="1" applyAlignment="1">
      <alignment horizontal="center" vertical="center"/>
    </xf>
    <xf numFmtId="3" fontId="12" fillId="0" borderId="4" xfId="6" applyNumberFormat="1" applyFont="1" applyBorder="1" applyAlignment="1">
      <alignment horizontal="center" vertical="center" wrapText="1"/>
    </xf>
    <xf numFmtId="0" fontId="14" fillId="0" borderId="0" xfId="6" applyFont="1" applyAlignment="1">
      <alignment horizontal="left"/>
    </xf>
    <xf numFmtId="0" fontId="15" fillId="0" borderId="0" xfId="6" applyFont="1" applyAlignment="1">
      <alignment horizontal="left"/>
    </xf>
    <xf numFmtId="166" fontId="15" fillId="0" borderId="0" xfId="6" applyNumberFormat="1" applyFont="1" applyAlignment="1">
      <alignment horizontal="left"/>
    </xf>
    <xf numFmtId="3" fontId="10" fillId="0" borderId="0" xfId="6" applyNumberFormat="1" applyFont="1" applyAlignment="1">
      <alignment horizontal="left"/>
    </xf>
    <xf numFmtId="166" fontId="10" fillId="0" borderId="0" xfId="6" applyNumberFormat="1" applyFont="1" applyAlignment="1">
      <alignment horizontal="left"/>
    </xf>
    <xf numFmtId="0" fontId="19" fillId="0" borderId="0" xfId="6" applyFont="1"/>
    <xf numFmtId="49" fontId="13" fillId="0" borderId="0" xfId="6" applyNumberFormat="1" applyFont="1"/>
    <xf numFmtId="0" fontId="10" fillId="0" borderId="0" xfId="6" applyFont="1" applyAlignment="1">
      <alignment horizontal="left"/>
    </xf>
    <xf numFmtId="0" fontId="23" fillId="0" borderId="0" xfId="0" applyFont="1"/>
    <xf numFmtId="0" fontId="4" fillId="0" borderId="0" xfId="0" applyFont="1" applyAlignment="1">
      <alignment horizontal="right"/>
    </xf>
    <xf numFmtId="3" fontId="7" fillId="0" borderId="0" xfId="0" applyNumberFormat="1" applyFont="1"/>
    <xf numFmtId="3" fontId="7" fillId="0" borderId="0" xfId="0" applyNumberFormat="1" applyFont="1" applyAlignment="1">
      <alignment horizontal="right" indent="1"/>
    </xf>
    <xf numFmtId="4" fontId="7" fillId="0" borderId="0" xfId="0" applyNumberFormat="1" applyFont="1" applyAlignment="1">
      <alignment horizontal="right" indent="1"/>
    </xf>
    <xf numFmtId="164" fontId="7" fillId="0" borderId="0" xfId="0" applyNumberFormat="1" applyFont="1" applyAlignment="1">
      <alignment horizontal="right" indent="1"/>
    </xf>
    <xf numFmtId="0" fontId="7" fillId="0" borderId="12" xfId="0" applyFont="1" applyBorder="1" applyAlignment="1">
      <alignment horizontal="center" vertical="center" wrapText="1"/>
    </xf>
    <xf numFmtId="0" fontId="7" fillId="0" borderId="0" xfId="0" applyFont="1" applyAlignment="1">
      <alignment horizontal="right" indent="1"/>
    </xf>
    <xf numFmtId="3" fontId="7" fillId="0" borderId="2" xfId="0" applyNumberFormat="1" applyFont="1" applyBorder="1" applyAlignment="1">
      <alignment horizontal="right" indent="1"/>
    </xf>
    <xf numFmtId="0" fontId="7" fillId="0" borderId="1" xfId="0" applyFont="1" applyBorder="1" applyAlignment="1">
      <alignment horizontal="right" indent="2"/>
    </xf>
    <xf numFmtId="167" fontId="12" fillId="0" borderId="0" xfId="6" applyNumberFormat="1" applyFont="1" applyAlignment="1">
      <alignment horizontal="left"/>
    </xf>
    <xf numFmtId="3" fontId="12" fillId="0" borderId="0" xfId="3" applyNumberFormat="1" applyFont="1" applyFill="1" applyAlignment="1">
      <alignment horizontal="center"/>
    </xf>
    <xf numFmtId="3" fontId="12" fillId="0" borderId="0" xfId="6" applyNumberFormat="1" applyFont="1" applyAlignment="1">
      <alignment horizontal="center"/>
    </xf>
    <xf numFmtId="166" fontId="12" fillId="0" borderId="0" xfId="6" applyNumberFormat="1" applyFont="1" applyAlignment="1">
      <alignment horizontal="center"/>
    </xf>
    <xf numFmtId="0" fontId="12" fillId="0" borderId="0" xfId="6" applyFont="1" applyAlignment="1">
      <alignment horizontal="left"/>
    </xf>
    <xf numFmtId="49" fontId="12" fillId="0" borderId="1" xfId="6" applyNumberFormat="1" applyFont="1" applyBorder="1" applyAlignment="1">
      <alignment horizontal="left"/>
    </xf>
    <xf numFmtId="3" fontId="12" fillId="0" borderId="1" xfId="6" applyNumberFormat="1" applyFont="1" applyBorder="1" applyAlignment="1">
      <alignment horizontal="center"/>
    </xf>
    <xf numFmtId="166" fontId="12" fillId="0" borderId="1" xfId="6" applyNumberFormat="1" applyFont="1" applyBorder="1" applyAlignment="1">
      <alignment horizontal="center"/>
    </xf>
    <xf numFmtId="15" fontId="7" fillId="0" borderId="0" xfId="0" applyNumberFormat="1" applyFont="1" applyAlignment="1">
      <alignment horizontal="right" indent="1"/>
    </xf>
    <xf numFmtId="3" fontId="24" fillId="0" borderId="0" xfId="0" applyNumberFormat="1" applyFont="1" applyAlignment="1">
      <alignment horizontal="right" indent="1"/>
    </xf>
    <xf numFmtId="4" fontId="24" fillId="0" borderId="0" xfId="0" applyNumberFormat="1" applyFont="1" applyAlignment="1">
      <alignment horizontal="right" indent="1"/>
    </xf>
    <xf numFmtId="3" fontId="7" fillId="0" borderId="1" xfId="0" applyNumberFormat="1" applyFont="1" applyBorder="1" applyAlignment="1">
      <alignment horizontal="right" indent="1"/>
    </xf>
    <xf numFmtId="4" fontId="7" fillId="0" borderId="1" xfId="0" applyNumberFormat="1" applyFont="1" applyBorder="1" applyAlignment="1">
      <alignment horizontal="right" indent="1"/>
    </xf>
    <xf numFmtId="0" fontId="7" fillId="0" borderId="0" xfId="0" applyFont="1" applyAlignment="1">
      <alignment wrapText="1"/>
    </xf>
    <xf numFmtId="3" fontId="0" fillId="0" borderId="0" xfId="0" applyNumberFormat="1"/>
    <xf numFmtId="3" fontId="7" fillId="0" borderId="1" xfId="0" applyNumberFormat="1" applyFont="1" applyBorder="1"/>
    <xf numFmtId="164" fontId="7" fillId="0" borderId="1" xfId="0" applyNumberFormat="1" applyFont="1" applyBorder="1" applyAlignment="1">
      <alignment horizontal="right" indent="1"/>
    </xf>
    <xf numFmtId="0" fontId="7" fillId="0" borderId="0" xfId="0" applyFont="1" applyAlignment="1">
      <alignment horizontal="left"/>
    </xf>
    <xf numFmtId="0" fontId="7" fillId="0" borderId="1" xfId="0" applyFont="1" applyBorder="1" applyAlignment="1">
      <alignment horizontal="left"/>
    </xf>
    <xf numFmtId="0" fontId="7" fillId="0" borderId="0" xfId="0" applyFont="1" applyAlignment="1">
      <alignment horizontal="left" vertical="center"/>
    </xf>
    <xf numFmtId="0" fontId="7" fillId="0" borderId="1" xfId="0" applyFont="1" applyBorder="1" applyAlignment="1">
      <alignment horizontal="left" vertical="center"/>
    </xf>
    <xf numFmtId="0" fontId="7" fillId="0" borderId="1" xfId="0" applyFont="1" applyBorder="1"/>
    <xf numFmtId="15" fontId="7" fillId="0" borderId="1" xfId="0" quotePrefix="1" applyNumberFormat="1" applyFont="1" applyBorder="1" applyAlignment="1">
      <alignment horizontal="right" indent="1"/>
    </xf>
    <xf numFmtId="15" fontId="7" fillId="0" borderId="0" xfId="0" quotePrefix="1" applyNumberFormat="1" applyFont="1" applyAlignment="1">
      <alignment horizontal="right" indent="1"/>
    </xf>
    <xf numFmtId="4" fontId="25" fillId="0" borderId="0" xfId="0" applyNumberFormat="1" applyFont="1" applyAlignment="1">
      <alignment horizontal="right" indent="1"/>
    </xf>
    <xf numFmtId="0" fontId="7" fillId="0" borderId="0" xfId="0" applyFont="1" applyAlignment="1">
      <alignment horizontal="center" vertical="center" wrapText="1"/>
    </xf>
    <xf numFmtId="0" fontId="26" fillId="0" borderId="0" xfId="0" applyFont="1"/>
    <xf numFmtId="0" fontId="12" fillId="0" borderId="1" xfId="6" applyFont="1" applyBorder="1" applyAlignment="1">
      <alignment horizontal="left"/>
    </xf>
    <xf numFmtId="164" fontId="12" fillId="0" borderId="0" xfId="6" applyNumberFormat="1" applyFont="1" applyAlignment="1">
      <alignment horizontal="center"/>
    </xf>
    <xf numFmtId="164" fontId="12" fillId="0" borderId="1" xfId="6" applyNumberFormat="1" applyFont="1" applyBorder="1" applyAlignment="1">
      <alignment horizontal="center"/>
    </xf>
    <xf numFmtId="49" fontId="4" fillId="0" borderId="0" xfId="0" applyNumberFormat="1" applyFont="1"/>
    <xf numFmtId="0" fontId="30" fillId="0" borderId="0" xfId="115" applyFont="1" applyAlignment="1">
      <alignment horizontal="left" vertical="center"/>
    </xf>
    <xf numFmtId="0" fontId="7" fillId="0" borderId="0" xfId="115" applyFont="1" applyAlignment="1">
      <alignment horizontal="left" vertical="center"/>
    </xf>
    <xf numFmtId="0" fontId="30" fillId="0" borderId="0" xfId="115" applyFont="1" applyAlignment="1">
      <alignment vertical="center"/>
    </xf>
    <xf numFmtId="0" fontId="8" fillId="2" borderId="0" xfId="0" applyFont="1" applyFill="1" applyAlignment="1">
      <alignment horizontal="center"/>
    </xf>
    <xf numFmtId="0" fontId="0" fillId="0" borderId="0" xfId="0"/>
    <xf numFmtId="0" fontId="7" fillId="0" borderId="3" xfId="0" applyFont="1" applyBorder="1" applyAlignment="1">
      <alignment horizontal="center" vertical="center" wrapText="1"/>
    </xf>
    <xf numFmtId="0" fontId="0" fillId="0" borderId="3" xfId="0" applyBorder="1"/>
    <xf numFmtId="0" fontId="7" fillId="0" borderId="0" xfId="0" applyFont="1"/>
    <xf numFmtId="0" fontId="7" fillId="0" borderId="0" xfId="0" applyFont="1" applyAlignment="1">
      <alignment wrapText="1"/>
    </xf>
    <xf numFmtId="0" fontId="13" fillId="0" borderId="0" xfId="6" applyFont="1" applyAlignment="1">
      <alignment horizontal="center"/>
    </xf>
    <xf numFmtId="166" fontId="12" fillId="4" borderId="6" xfId="6" applyNumberFormat="1" applyFont="1" applyFill="1" applyBorder="1" applyAlignment="1">
      <alignment horizontal="center" vertical="center" wrapText="1"/>
    </xf>
    <xf numFmtId="166" fontId="12" fillId="4" borderId="5" xfId="6" applyNumberFormat="1" applyFont="1" applyFill="1" applyBorder="1" applyAlignment="1">
      <alignment horizontal="center" vertical="center" wrapText="1"/>
    </xf>
    <xf numFmtId="0" fontId="13" fillId="3" borderId="0" xfId="6" applyFont="1" applyFill="1" applyAlignment="1">
      <alignment horizontal="center"/>
    </xf>
    <xf numFmtId="0" fontId="12" fillId="0" borderId="7" xfId="6" applyFont="1" applyBorder="1" applyAlignment="1">
      <alignment horizontal="left" vertical="center" wrapText="1"/>
    </xf>
    <xf numFmtId="0" fontId="12" fillId="0" borderId="9" xfId="6" applyFont="1" applyBorder="1" applyAlignment="1">
      <alignment horizontal="left" vertical="center" wrapText="1"/>
    </xf>
    <xf numFmtId="0" fontId="12" fillId="0" borderId="1" xfId="6" applyFont="1" applyBorder="1" applyAlignment="1">
      <alignment horizontal="left" vertical="center" wrapText="1"/>
    </xf>
    <xf numFmtId="0" fontId="12" fillId="0" borderId="8" xfId="6" applyFont="1" applyBorder="1" applyAlignment="1">
      <alignment horizontal="left" vertical="center" wrapText="1"/>
    </xf>
    <xf numFmtId="0" fontId="12" fillId="0" borderId="4" xfId="6" applyFont="1" applyBorder="1" applyAlignment="1">
      <alignment horizontal="center" vertical="center" wrapText="1"/>
    </xf>
    <xf numFmtId="0" fontId="12" fillId="0" borderId="10" xfId="6" applyFont="1" applyBorder="1" applyAlignment="1">
      <alignment horizontal="center" vertical="center" wrapText="1"/>
    </xf>
    <xf numFmtId="0" fontId="12" fillId="0" borderId="11" xfId="6" applyFont="1" applyBorder="1" applyAlignment="1">
      <alignment horizontal="center" vertical="center" wrapText="1"/>
    </xf>
    <xf numFmtId="0" fontId="32" fillId="0" borderId="0" xfId="0" applyFont="1"/>
    <xf numFmtId="0" fontId="6" fillId="0" borderId="0" xfId="0" applyFont="1" applyAlignment="1">
      <alignment horizontal="left"/>
    </xf>
  </cellXfs>
  <cellStyles count="116">
    <cellStyle name="Comma 2" xfId="3" xr:uid="{CCD8E2E7-F248-418F-904A-D53D711C82B3}"/>
    <cellStyle name="Comma 3" xfId="2" xr:uid="{D99DA387-5F89-4155-A55E-A9A058169CA6}"/>
    <cellStyle name="Hyperlink" xfId="115" builtinId="8"/>
    <cellStyle name="Hyperlink 2" xfId="5" xr:uid="{4534AB45-A643-459B-B3DA-01450D2B18FF}"/>
    <cellStyle name="Hyperlink 3" xfId="4" xr:uid="{12A55C54-A06D-402A-97EA-50D07273C2CE}"/>
    <cellStyle name="Normal" xfId="0" builtinId="0"/>
    <cellStyle name="Normal 10 2" xfId="6" xr:uid="{D6028739-ECD0-413F-A07C-89548E021364}"/>
    <cellStyle name="Normal 10 3" xfId="7" xr:uid="{719910B2-7EA7-4A7C-A993-866DE5152678}"/>
    <cellStyle name="Normal 10 4" xfId="8" xr:uid="{EAB9A742-8469-4595-8F55-C74940A6E795}"/>
    <cellStyle name="Normal 10 5" xfId="9" xr:uid="{0016230F-7692-4499-A2BF-36D41E69DFD7}"/>
    <cellStyle name="Normal 10 6" xfId="10" xr:uid="{B47E96A4-A590-48E7-9D73-4CD63795B6F9}"/>
    <cellStyle name="Normal 10 7" xfId="11" xr:uid="{60BA3C95-60C1-458B-A449-26D63CB93382}"/>
    <cellStyle name="Normal 11 2" xfId="12" xr:uid="{3B3A8D84-9335-4C5C-B137-2D4D9C819873}"/>
    <cellStyle name="Normal 11 3" xfId="13" xr:uid="{C7E2942A-64CE-4D69-BC9C-DA668C0580E2}"/>
    <cellStyle name="Normal 11 4" xfId="14" xr:uid="{9A595DAF-E400-4FD2-9DBD-1E2FE52D4D21}"/>
    <cellStyle name="Normal 2" xfId="15" xr:uid="{44235500-1E9A-469C-B287-6850428443A6}"/>
    <cellStyle name="Normal 2 10" xfId="16" xr:uid="{7060216D-5659-4910-AB7A-31D3598C0538}"/>
    <cellStyle name="Normal 2 11" xfId="17" xr:uid="{169798D2-6863-4260-82E4-F51916A61757}"/>
    <cellStyle name="Normal 2 2" xfId="18" xr:uid="{5E0FCEE7-838B-477A-A5F0-469194766C91}"/>
    <cellStyle name="Normal 2 2 2" xfId="19" xr:uid="{27EB4E61-AA24-450A-A58A-37005ED3707D}"/>
    <cellStyle name="Normal 2 2 2 2" xfId="20" xr:uid="{DA280A92-EFE7-4E9E-BE96-16B3F6A36A85}"/>
    <cellStyle name="Normal 2 2 2 2 2" xfId="21" xr:uid="{155F8566-6F83-4CBD-A3FF-ECF4C32F5F5D}"/>
    <cellStyle name="Normal 2 2 2 2 3" xfId="22" xr:uid="{338840AC-55DE-410F-B13D-6A4ECBE046B9}"/>
    <cellStyle name="Normal 2 2 2 2 4" xfId="23" xr:uid="{BD7F7FCE-1A45-4018-8B38-45417F189E4B}"/>
    <cellStyle name="Normal 2 2 2 3" xfId="24" xr:uid="{7DC9DF6A-B558-4895-8CF5-8822C0C4413F}"/>
    <cellStyle name="Normal 2 2 2 4" xfId="25" xr:uid="{B91CE7F9-2080-40E8-B13C-5C3D712EF36B}"/>
    <cellStyle name="Normal 2 2 3" xfId="26" xr:uid="{C69ADF9E-D308-4EDE-B759-BB4B2BB4C6AA}"/>
    <cellStyle name="Normal 2 2 4" xfId="27" xr:uid="{66D9169B-D7A6-4C81-A784-DA47BFDAEA47}"/>
    <cellStyle name="Normal 2 2 5" xfId="28" xr:uid="{84FA7F71-9985-4E5F-B3FE-48580DC2E3E1}"/>
    <cellStyle name="Normal 2 2 6" xfId="29" xr:uid="{DCEF90FF-2467-4559-9C2D-630E6C0B7539}"/>
    <cellStyle name="Normal 2 2 7" xfId="30" xr:uid="{C04FE727-3FFF-4613-BE3A-E2A538B44791}"/>
    <cellStyle name="Normal 2 3" xfId="31" xr:uid="{EB9637C5-B5B2-4AC3-BD0C-55C7809D95AD}"/>
    <cellStyle name="Normal 2 4" xfId="32" xr:uid="{BA2FB800-3B12-490A-90BC-3F66CCE70558}"/>
    <cellStyle name="Normal 2 5" xfId="33" xr:uid="{8C82CF1A-EF54-4211-96A6-641ABF4BBEEA}"/>
    <cellStyle name="Normal 2 6" xfId="34" xr:uid="{8B3D879A-D647-49DC-9D06-13B2C6A91E77}"/>
    <cellStyle name="Normal 2 7" xfId="35" xr:uid="{7CC90612-1A2A-4DFC-A4A0-76AED145A192}"/>
    <cellStyle name="Normal 2 7 2" xfId="36" xr:uid="{B546B5CF-61C6-4FFB-8822-7617F99D3FCE}"/>
    <cellStyle name="Normal 2 7 2 2" xfId="37" xr:uid="{116768FD-1C44-4FEC-8D26-6CA439E23D78}"/>
    <cellStyle name="Normal 2 7 2 3" xfId="38" xr:uid="{ABB823DB-A280-4706-B285-ABC807584EE6}"/>
    <cellStyle name="Normal 2 7 2 4" xfId="39" xr:uid="{260B9623-1DF3-438D-B7C4-6C60D5B38EC4}"/>
    <cellStyle name="Normal 2 7 3" xfId="40" xr:uid="{07456188-E6AC-440E-91B2-65ABA6269E2E}"/>
    <cellStyle name="Normal 2 7 4" xfId="41" xr:uid="{C222D206-5D71-4311-9463-20771748C9D3}"/>
    <cellStyle name="Normal 2 8" xfId="42" xr:uid="{AED1DBF9-1544-420C-BFD7-FE6C2116A54A}"/>
    <cellStyle name="Normal 2 9" xfId="43" xr:uid="{CCD02760-5837-4458-8936-1DA073A14EB9}"/>
    <cellStyle name="Normal 3" xfId="44" xr:uid="{3C653CA6-EA55-413C-AA90-40454E023450}"/>
    <cellStyle name="Normal 3 2" xfId="45" xr:uid="{9C911AE7-1CC4-4436-9A78-4A6DBD844DA6}"/>
    <cellStyle name="Normal 3 3" xfId="46" xr:uid="{71D222F0-3E22-466A-812B-85CA344E60B3}"/>
    <cellStyle name="Normal 3 4" xfId="47" xr:uid="{E305A642-3E38-49D7-B677-4416692F1033}"/>
    <cellStyle name="Normal 3 5" xfId="48" xr:uid="{5875367D-0879-4DE4-9F3C-20B57E3E0A40}"/>
    <cellStyle name="Normal 3 6" xfId="49" xr:uid="{EBE0937F-D3D3-4C5E-94DA-F93D5CF8F36C}"/>
    <cellStyle name="Normal 3 7" xfId="50" xr:uid="{FE041EC7-FB3E-4C72-AD97-709BE382B7F5}"/>
    <cellStyle name="Normal 4" xfId="51" xr:uid="{A71F4230-0E0C-4E5E-B38E-F993B655E709}"/>
    <cellStyle name="Normal 4 10" xfId="52" xr:uid="{6750C7EF-66B1-4F3D-888D-43920A70B4FB}"/>
    <cellStyle name="Normal 4 11" xfId="53" xr:uid="{B3708EAD-4BFE-47B0-B2C1-1E735CDF6BBB}"/>
    <cellStyle name="Normal 4 2" xfId="54" xr:uid="{EE90CE47-AAFC-47C7-B9C0-ED4F5E829A55}"/>
    <cellStyle name="Normal 4 2 2" xfId="55" xr:uid="{F54138FC-6B8B-4E9B-B11B-48D4A1EE9765}"/>
    <cellStyle name="Normal 4 2 2 2" xfId="56" xr:uid="{DC8D4012-ACE6-4A85-A91E-A6C0F8782FC2}"/>
    <cellStyle name="Normal 4 2 2 2 2" xfId="57" xr:uid="{771FD107-ADB5-40F7-900A-B08AB1AAA034}"/>
    <cellStyle name="Normal 4 2 2 2 3" xfId="58" xr:uid="{9AD06D07-8A67-4F52-A1BA-111588BB7304}"/>
    <cellStyle name="Normal 4 2 2 2 4" xfId="59" xr:uid="{DC87F293-D926-46B8-83DC-544561931882}"/>
    <cellStyle name="Normal 4 2 2 3" xfId="60" xr:uid="{D0F2049F-612D-4EBD-AC2E-6E7F923EAE2A}"/>
    <cellStyle name="Normal 4 2 2 4" xfId="61" xr:uid="{73EDD357-5231-4E27-8A95-DDA74516F254}"/>
    <cellStyle name="Normal 4 2 3" xfId="62" xr:uid="{CE2588B2-1BD8-491D-BDAE-6F7F0B9A22FD}"/>
    <cellStyle name="Normal 4 2 4" xfId="63" xr:uid="{10FA02BE-0952-4C71-A068-E8CE57DA69A3}"/>
    <cellStyle name="Normal 4 2 5" xfId="64" xr:uid="{7A04F8AA-3E04-46A4-ABD5-3F3F6FF36C7C}"/>
    <cellStyle name="Normal 4 2 6" xfId="65" xr:uid="{11D1147B-7ACC-4F00-8777-B680CCEE17A5}"/>
    <cellStyle name="Normal 4 2 7" xfId="66" xr:uid="{38D1DF57-D189-4481-94C9-E6F7D2AE33FF}"/>
    <cellStyle name="Normal 4 3" xfId="67" xr:uid="{B0CE19DA-1DA4-44CD-A8ED-E248FBCA7846}"/>
    <cellStyle name="Normal 4 4" xfId="68" xr:uid="{9D74AD03-50F3-4061-9644-20DA14D137DF}"/>
    <cellStyle name="Normal 4 5" xfId="69" xr:uid="{181B404C-6BE2-4C7E-9058-5BFCF4A0E416}"/>
    <cellStyle name="Normal 4 6" xfId="70" xr:uid="{B25A7CF5-D52C-4550-B58C-A025D89ACDEF}"/>
    <cellStyle name="Normal 4 7" xfId="71" xr:uid="{C129717D-51C6-495A-A1E7-B711CADE83D7}"/>
    <cellStyle name="Normal 4 7 2" xfId="72" xr:uid="{A8F5B587-A986-4546-A79E-68E992D975E7}"/>
    <cellStyle name="Normal 4 7 2 2" xfId="73" xr:uid="{149D4D82-5AFD-4534-8321-7E4985920931}"/>
    <cellStyle name="Normal 4 7 2 3" xfId="74" xr:uid="{1F77F2D9-28E2-4B64-8556-10C139F183EA}"/>
    <cellStyle name="Normal 4 7 2 4" xfId="75" xr:uid="{9E79940D-BC98-4DB6-B687-B76DD8B15CF0}"/>
    <cellStyle name="Normal 4 7 3" xfId="76" xr:uid="{6198061C-5D63-4032-B7A4-A8E7029049F4}"/>
    <cellStyle name="Normal 4 7 4" xfId="77" xr:uid="{7D776703-D7F3-4A11-9E87-BAA0D3839D75}"/>
    <cellStyle name="Normal 4 8" xfId="78" xr:uid="{2BF48537-BF2F-4DF8-A90B-9A51E28852F0}"/>
    <cellStyle name="Normal 4 9" xfId="79" xr:uid="{38960285-2565-4F90-A417-5F79D4E293B3}"/>
    <cellStyle name="Normal 5" xfId="80" xr:uid="{D42283C4-D320-47AA-A3B8-1CED23976152}"/>
    <cellStyle name="Normal 5 2" xfId="81" xr:uid="{B28D0CD9-6C09-4ABB-B42B-32BE7D2FD23C}"/>
    <cellStyle name="Normal 5 3" xfId="82" xr:uid="{8F92FAD8-2E34-44B0-81C7-38580357F447}"/>
    <cellStyle name="Normal 5 4" xfId="83" xr:uid="{9277F033-E81A-410A-A228-400AB64AF8F8}"/>
    <cellStyle name="Normal 5 5" xfId="84" xr:uid="{829EF254-AF07-42C9-A1F9-F0DCB211EAD9}"/>
    <cellStyle name="Normal 5 6" xfId="85" xr:uid="{A941BE2C-1D96-4E95-A0F4-54EC79932A0D}"/>
    <cellStyle name="Normal 5 7" xfId="86" xr:uid="{3929B1B5-BFEA-4242-B40E-0A1BEBCF61CF}"/>
    <cellStyle name="Normal 55" xfId="87" xr:uid="{023821C5-3DB3-4E5F-A6D1-522875780660}"/>
    <cellStyle name="Normal 56" xfId="88" xr:uid="{13AA0F22-E15F-4B54-B99E-5CF41142BBCB}"/>
    <cellStyle name="Normal 6" xfId="89" xr:uid="{0B6BF1EE-075C-4C33-8F6A-2A427F938338}"/>
    <cellStyle name="Normal 6 2" xfId="90" xr:uid="{011296B8-F889-41F9-8444-CC85D1F60B4F}"/>
    <cellStyle name="Normal 6 3" xfId="91" xr:uid="{375D8AC2-1CB5-4C3D-BEB7-209B67C384C6}"/>
    <cellStyle name="Normal 6 4" xfId="92" xr:uid="{10CB35CA-24C7-45DD-A30A-4AD6D767A806}"/>
    <cellStyle name="Normal 6 5" xfId="93" xr:uid="{F26707C6-F404-46AE-8EC6-0D1A6787103A}"/>
    <cellStyle name="Normal 6 6" xfId="94" xr:uid="{0E41BEB3-6177-4600-93CB-84F29D0BE0C6}"/>
    <cellStyle name="Normal 6 7" xfId="95" xr:uid="{30C51F56-764A-428E-87A4-0F160EDF52F5}"/>
    <cellStyle name="Normal 7" xfId="96" xr:uid="{FD34F211-BE81-471F-AA65-325245B1159C}"/>
    <cellStyle name="Normal 7 2" xfId="97" xr:uid="{6DF80173-608B-4410-8EC4-3CBBC68905AC}"/>
    <cellStyle name="Normal 7 3" xfId="98" xr:uid="{3CD2D711-39E5-46A3-9E33-5F2C16530E1B}"/>
    <cellStyle name="Normal 7 4" xfId="99" xr:uid="{AC18566F-4BCE-498A-B436-B6901DC7663D}"/>
    <cellStyle name="Normal 7 5" xfId="100" xr:uid="{BA425E91-8625-4A2B-930C-00D9EF157D20}"/>
    <cellStyle name="Normal 7 6" xfId="101" xr:uid="{FF7CDFEF-376C-4F72-A39A-B182C0897A5A}"/>
    <cellStyle name="Normal 7 7" xfId="102" xr:uid="{88EC6FB9-B433-4A66-B798-4D522EBD01FB}"/>
    <cellStyle name="Normal 8" xfId="1" xr:uid="{8B3C00F8-92BD-4DB4-A855-F11C56F7E133}"/>
    <cellStyle name="Normal 8 2" xfId="103" xr:uid="{3F2AFADA-36BF-4BC6-AFB6-9E81F01BE167}"/>
    <cellStyle name="Normal 8 3" xfId="104" xr:uid="{E7643CF9-7ED4-4772-BED9-353CF2DDFEC5}"/>
    <cellStyle name="Normal 8 4" xfId="105" xr:uid="{B2EFC7D2-701E-4A0D-9645-DE746C617CCB}"/>
    <cellStyle name="Normal 8 5" xfId="106" xr:uid="{CA51419B-05E0-41C8-9F32-8DB66238870D}"/>
    <cellStyle name="Normal 8 6" xfId="107" xr:uid="{D8C0F9B1-5334-4C61-A4F9-B1013979DA9E}"/>
    <cellStyle name="Normal 8 7" xfId="108" xr:uid="{5186008D-9B90-4EB0-B45C-D36604DA53FC}"/>
    <cellStyle name="Normal 9 2" xfId="109" xr:uid="{BE218D5D-096B-4534-AA56-0C44A89C04B6}"/>
    <cellStyle name="Normal 9 3" xfId="110" xr:uid="{649D12F3-D904-4B4E-BE98-6B2ACF6A7947}"/>
    <cellStyle name="Normal 9 4" xfId="111" xr:uid="{9C438DC2-2D88-40D8-A69F-FD581A389B54}"/>
    <cellStyle name="Normal 9 5" xfId="112" xr:uid="{64A6B21B-CD39-409A-A908-3C7D8A3CA4DE}"/>
    <cellStyle name="Normal 9 6" xfId="113" xr:uid="{AC0C4DB2-1BEC-4143-BB2A-C8E5CD00A39B}"/>
    <cellStyle name="Normal 9 7" xfId="114" xr:uid="{F7ED9424-AEF9-41F7-8200-4E1F0660F32E}"/>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xplore.data.stats.govt.nz/vis?tm=POPES_ERP_002&amp;pg=0&amp;hc%5bdataflowId%5d=POPES_ERP_002&amp;snb=1&amp;df%5bds%5d=ds-nsiws-disseminate&amp;df%5bid%5d=POPES_ERP_002&amp;df%5bag%5d=STATSNZ&amp;df%5bvs%5d=1.0" TargetMode="External"/><Relationship Id="rId3" Type="http://schemas.openxmlformats.org/officeDocument/2006/relationships/hyperlink" Target="https://explore.data.stats.govt.nz/" TargetMode="External"/><Relationship Id="rId7" Type="http://schemas.openxmlformats.org/officeDocument/2006/relationships/hyperlink" Target="mailto:info@stats.govt.nz" TargetMode="External"/><Relationship Id="rId2" Type="http://schemas.openxmlformats.org/officeDocument/2006/relationships/hyperlink" Target="http://www.stats.govt.nz/about-infoshare" TargetMode="External"/><Relationship Id="rId1" Type="http://schemas.openxmlformats.org/officeDocument/2006/relationships/hyperlink" Target="http://www.stats.govt.nz/infoshare" TargetMode="External"/><Relationship Id="rId6" Type="http://schemas.openxmlformats.org/officeDocument/2006/relationships/hyperlink" Target="https://explore.data.stats.govt.nz/vis?tm=POPES_ERP_003&amp;pg=0&amp;hc%5bdataflowId%5d=POPES_ERP_003&amp;snb=1&amp;df%5bds%5d=ds-nsiws-disseminate&amp;df%5bid%5d=POPES_ERP_003&amp;df%5bag%5d=STATSNZ&amp;df%5bvs%5d=1.0" TargetMode="External"/><Relationship Id="rId11" Type="http://schemas.openxmlformats.org/officeDocument/2006/relationships/printerSettings" Target="../printerSettings/printerSettings1.bin"/><Relationship Id="rId5" Type="http://schemas.openxmlformats.org/officeDocument/2006/relationships/hyperlink" Target="https://explore.data.stats.govt.nz/vis?tm=POPES_ERP_006&amp;pg=0&amp;hc%5bdataflowId%5d=POPES_ERP_006&amp;snb=1&amp;df%5bds%5d=ds-nsiws-disseminate&amp;df%5bid%5d=POPES_ERP_006&amp;df%5bag%5d=STATSNZ&amp;df%5bvs%5d=1.0" TargetMode="External"/><Relationship Id="rId10" Type="http://schemas.openxmlformats.org/officeDocument/2006/relationships/hyperlink" Target="http://infoshare.stats.govt.nz/" TargetMode="External"/><Relationship Id="rId4" Type="http://schemas.openxmlformats.org/officeDocument/2006/relationships/hyperlink" Target="http://www.stats.govt.nz/" TargetMode="External"/><Relationship Id="rId9" Type="http://schemas.openxmlformats.org/officeDocument/2006/relationships/hyperlink" Target="https://explore.data.stats.govt.nz/vis?tm=POPES_ERP_005&amp;pg=0&amp;hc%5bdataflowId%5d=POPES_ERP_005&amp;snb=1&amp;df%5bds%5d=ds-nsiws-disseminate&amp;df%5bid%5d=POPES_ERP_005&amp;df%5bag%5d=STATSNZ&amp;df%5bvs%5d=1.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datainfoplus.stats.govt.nz/item/nz.govt.stats/06e59647-ced9-4c32-b2e1-25e41346629a" TargetMode="External"/><Relationship Id="rId1" Type="http://schemas.openxmlformats.org/officeDocument/2006/relationships/hyperlink" Target="https://www.stats.govt.nz/methods/gender-sex-and-lgbtiq-concepts-in-the-2023-cens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43"/>
  <sheetViews>
    <sheetView tabSelected="1" zoomScaleNormal="100" workbookViewId="0"/>
  </sheetViews>
  <sheetFormatPr defaultRowHeight="14.25"/>
  <cols>
    <col min="1" max="1" width="6.59765625" customWidth="1"/>
    <col min="2" max="2" width="81.796875" customWidth="1"/>
  </cols>
  <sheetData>
    <row r="1" spans="1:2" ht="15.4">
      <c r="A1" s="5" t="s">
        <v>178</v>
      </c>
      <c r="B1" s="1"/>
    </row>
    <row r="2" spans="1:2">
      <c r="A2" s="1"/>
      <c r="B2" s="1"/>
    </row>
    <row r="3" spans="1:2">
      <c r="A3" s="4" t="s">
        <v>1</v>
      </c>
      <c r="B3" s="1"/>
    </row>
    <row r="4" spans="1:2">
      <c r="A4" s="35" t="s">
        <v>2</v>
      </c>
      <c r="B4" s="2" t="s">
        <v>183</v>
      </c>
    </row>
    <row r="5" spans="1:2">
      <c r="A5" s="35" t="s">
        <v>3</v>
      </c>
      <c r="B5" s="2" t="s">
        <v>179</v>
      </c>
    </row>
    <row r="6" spans="1:2">
      <c r="A6" s="35" t="s">
        <v>4</v>
      </c>
      <c r="B6" s="2" t="s">
        <v>180</v>
      </c>
    </row>
    <row r="7" spans="1:2">
      <c r="A7" s="35" t="s">
        <v>5</v>
      </c>
      <c r="B7" s="2" t="s">
        <v>232</v>
      </c>
    </row>
    <row r="8" spans="1:2">
      <c r="A8" s="35" t="s">
        <v>6</v>
      </c>
      <c r="B8" s="2" t="s">
        <v>181</v>
      </c>
    </row>
    <row r="9" spans="1:2">
      <c r="A9" s="35">
        <v>6</v>
      </c>
      <c r="B9" s="2" t="s">
        <v>226</v>
      </c>
    </row>
    <row r="10" spans="1:2">
      <c r="A10" s="1" t="s">
        <v>0</v>
      </c>
      <c r="B10" s="1"/>
    </row>
    <row r="11" spans="1:2">
      <c r="A11" s="4" t="s">
        <v>7</v>
      </c>
      <c r="B11" s="1"/>
    </row>
    <row r="12" spans="1:2">
      <c r="A12" s="1" t="s">
        <v>8</v>
      </c>
      <c r="B12" s="1"/>
    </row>
    <row r="13" spans="1:2">
      <c r="A13" s="2" t="s">
        <v>227</v>
      </c>
      <c r="B13" s="2"/>
    </row>
    <row r="14" spans="1:2">
      <c r="A14" s="1" t="s">
        <v>0</v>
      </c>
      <c r="B14" s="1"/>
    </row>
    <row r="15" spans="1:2">
      <c r="A15" s="1" t="s">
        <v>9</v>
      </c>
      <c r="B15" s="1"/>
    </row>
    <row r="16" spans="1:2">
      <c r="A16" s="6" t="s">
        <v>10</v>
      </c>
      <c r="B16" s="1"/>
    </row>
    <row r="17" spans="1:7">
      <c r="A17" s="6" t="s">
        <v>11</v>
      </c>
      <c r="B17" s="1"/>
    </row>
    <row r="18" spans="1:7">
      <c r="A18" s="1" t="s">
        <v>0</v>
      </c>
      <c r="B18" s="1"/>
    </row>
    <row r="19" spans="1:7">
      <c r="A19" s="1" t="s">
        <v>12</v>
      </c>
      <c r="B19" s="1"/>
    </row>
    <row r="20" spans="1:7">
      <c r="A20" s="1" t="s">
        <v>0</v>
      </c>
      <c r="B20" s="1"/>
    </row>
    <row r="21" spans="1:7">
      <c r="A21" s="2" t="s">
        <v>228</v>
      </c>
      <c r="B21" s="1"/>
    </row>
    <row r="22" spans="1:7">
      <c r="A22" s="1" t="s">
        <v>0</v>
      </c>
      <c r="B22" s="1"/>
    </row>
    <row r="23" spans="1:7">
      <c r="A23" s="6" t="s">
        <v>202</v>
      </c>
      <c r="B23" s="70"/>
    </row>
    <row r="24" spans="1:7">
      <c r="A24" s="1" t="s">
        <v>203</v>
      </c>
      <c r="B24" s="70"/>
    </row>
    <row r="25" spans="1:7">
      <c r="A25" s="2" t="s">
        <v>204</v>
      </c>
      <c r="B25" s="2"/>
    </row>
    <row r="26" spans="1:7">
      <c r="A26" s="1" t="s">
        <v>0</v>
      </c>
      <c r="B26" s="1"/>
    </row>
    <row r="27" spans="1:7">
      <c r="A27" s="1" t="s">
        <v>205</v>
      </c>
      <c r="B27" s="1"/>
    </row>
    <row r="28" spans="1:7">
      <c r="A28" s="6" t="s">
        <v>206</v>
      </c>
      <c r="B28" s="1"/>
    </row>
    <row r="29" spans="1:7">
      <c r="A29" s="6" t="s">
        <v>207</v>
      </c>
      <c r="B29" s="1"/>
    </row>
    <row r="30" spans="1:7">
      <c r="A30" s="1" t="s">
        <v>13</v>
      </c>
      <c r="B30" s="1"/>
    </row>
    <row r="31" spans="1:7">
      <c r="A31" s="1" t="s">
        <v>0</v>
      </c>
      <c r="B31" s="2" t="s">
        <v>209</v>
      </c>
      <c r="C31" s="2"/>
      <c r="D31" s="2"/>
      <c r="E31" s="2"/>
      <c r="F31" s="2"/>
    </row>
    <row r="32" spans="1:7">
      <c r="A32" s="1" t="s">
        <v>0</v>
      </c>
      <c r="B32" s="2" t="s">
        <v>210</v>
      </c>
      <c r="C32" s="2"/>
      <c r="D32" s="2"/>
      <c r="E32" s="2"/>
      <c r="F32" s="2"/>
      <c r="G32" s="2"/>
    </row>
    <row r="33" spans="1:6">
      <c r="A33" s="1" t="s">
        <v>0</v>
      </c>
      <c r="B33" s="2" t="s">
        <v>211</v>
      </c>
      <c r="C33" s="2"/>
      <c r="D33" s="2"/>
      <c r="E33" s="2"/>
      <c r="F33" s="95"/>
    </row>
    <row r="34" spans="1:6">
      <c r="A34" s="1"/>
      <c r="B34" s="2" t="s">
        <v>224</v>
      </c>
      <c r="C34" s="2"/>
      <c r="D34" s="95"/>
      <c r="E34" s="95"/>
      <c r="F34" s="95"/>
    </row>
    <row r="35" spans="1:6">
      <c r="A35" s="1" t="s">
        <v>0</v>
      </c>
      <c r="B35" s="1"/>
    </row>
    <row r="36" spans="1:6">
      <c r="A36" s="4" t="s">
        <v>14</v>
      </c>
      <c r="B36" s="1"/>
    </row>
    <row r="37" spans="1:6">
      <c r="A37" s="1" t="s">
        <v>15</v>
      </c>
      <c r="B37" s="1"/>
    </row>
    <row r="38" spans="1:6">
      <c r="A38" s="1" t="s">
        <v>16</v>
      </c>
      <c r="B38" s="2" t="s">
        <v>17</v>
      </c>
    </row>
    <row r="39" spans="1:6">
      <c r="A39" s="1" t="s">
        <v>18</v>
      </c>
      <c r="B39" s="1" t="s">
        <v>19</v>
      </c>
    </row>
    <row r="40" spans="1:6">
      <c r="A40" s="1" t="s">
        <v>0</v>
      </c>
    </row>
    <row r="41" spans="1:6">
      <c r="A41" s="4" t="s">
        <v>20</v>
      </c>
    </row>
    <row r="42" spans="1:6">
      <c r="A42" s="74" t="s">
        <v>208</v>
      </c>
    </row>
    <row r="43" spans="1:6">
      <c r="A43" s="96" t="s">
        <v>21</v>
      </c>
      <c r="B43" s="96"/>
    </row>
  </sheetData>
  <mergeCells count="1">
    <mergeCell ref="A43:B43"/>
  </mergeCells>
  <phoneticPr fontId="22" type="noConversion"/>
  <hyperlinks>
    <hyperlink ref="A13" r:id="rId1" display="Infoshare (www.stats.govt.nz/infoshare)." xr:uid="{00000000-0004-0000-0000-000000000000}"/>
    <hyperlink ref="A21" r:id="rId2" display="More information about Infoshare (http://archive.stats.govt.nz/tools and services/infoshare.aspx)." xr:uid="{00000000-0004-0000-0000-000001000000}"/>
    <hyperlink ref="A25" r:id="rId3" xr:uid="{00000000-0004-0000-0000-000002000000}"/>
    <hyperlink ref="A43" r:id="rId4" xr:uid="{00000000-0004-0000-0000-000003000000}"/>
    <hyperlink ref="B4" location="'Table 1'!A1" display="Estimated population by sex, 1926–2024, year ended 31 December" xr:uid="{00000000-0004-0000-0000-000004000000}"/>
    <hyperlink ref="B5" location="'Table 2'!A1" display="Estimated population by sex, 1937–2024, year ended 30 June" xr:uid="{00000000-0004-0000-0000-000005000000}"/>
    <hyperlink ref="B6" location="'Table 3'!A1" display="Components of population change, 1961–2024, year ended 30 June" xr:uid="{00000000-0004-0000-0000-000006000000}"/>
    <hyperlink ref="B8" location="'Table 5'!A1" display="Total and Māori populations, 1858–2023 Censuses of Population and Dwellings" xr:uid="{00000000-0004-0000-0000-000007000000}"/>
    <hyperlink ref="B32" r:id="rId5" xr:uid="{00000000-0004-0000-0000-000009000000}"/>
    <hyperlink ref="B33" r:id="rId6" xr:uid="{00000000-0004-0000-0000-00000A000000}"/>
    <hyperlink ref="B38" r:id="rId7" xr:uid="{00000000-0004-0000-0000-00000B000000}"/>
    <hyperlink ref="B7" location="'Table 4'!A1" display="Estimated resident population of New Zealand, by broad age group and sex, at 30 June 2018–2024" xr:uid="{0E654C08-6675-46BA-8357-4E155311C48E}"/>
    <hyperlink ref="B9" location="'Table 6'!A1" display="Preliminary estimated population by five-year age groups and gender, at 7 March 2023" xr:uid="{FE2CC935-35D6-41AF-9843-221CF13C47EA}"/>
    <hyperlink ref="B34" r:id="rId8" xr:uid="{B21F8E73-27B1-42B8-9BCE-47732E2C6954}"/>
    <hyperlink ref="B31" r:id="rId9" xr:uid="{00000000-0004-0000-0000-000008000000}"/>
    <hyperlink ref="A13:B13" r:id="rId10" display="Infoshare (http://infoshare.stats.govt.nz)." xr:uid="{C029CA31-A3EB-4491-805D-849AEBA6CDD2}"/>
  </hyperlinks>
  <pageMargins left="0.7" right="0.7" top="0.75" bottom="0.75" header="0.3" footer="0.3"/>
  <pageSetup paperSize="9" scale="95" orientation="portrait" r:id="rId11"/>
  <ignoredErrors>
    <ignoredError sqref="A4:A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C124"/>
  <sheetViews>
    <sheetView zoomScaleNormal="100" workbookViewId="0">
      <pane ySplit="8" topLeftCell="A9" activePane="bottomLeft" state="frozen"/>
      <selection activeCell="H14" sqref="H14"/>
      <selection pane="bottomLeft"/>
    </sheetView>
  </sheetViews>
  <sheetFormatPr defaultRowHeight="14.25"/>
  <cols>
    <col min="1" max="1" width="10.59765625" customWidth="1"/>
    <col min="2" max="4" width="9.73046875" customWidth="1"/>
    <col min="5" max="7" width="8.73046875" customWidth="1"/>
    <col min="8" max="10" width="9.73046875" customWidth="1"/>
  </cols>
  <sheetData>
    <row r="1" spans="1:10">
      <c r="A1" s="1" t="s">
        <v>22</v>
      </c>
    </row>
    <row r="2" spans="1:10" ht="6" customHeight="1">
      <c r="A2" s="3" t="s">
        <v>0</v>
      </c>
    </row>
    <row r="3" spans="1:10">
      <c r="A3" s="4" t="s">
        <v>23</v>
      </c>
    </row>
    <row r="4" spans="1:10">
      <c r="A4" s="1" t="s">
        <v>182</v>
      </c>
    </row>
    <row r="5" spans="1:10">
      <c r="A5" s="1" t="s">
        <v>24</v>
      </c>
    </row>
    <row r="6" spans="1:10" ht="6" customHeight="1">
      <c r="A6" s="3"/>
    </row>
    <row r="7" spans="1:10" ht="28.5" customHeight="1">
      <c r="A7" s="80" t="s">
        <v>25</v>
      </c>
      <c r="B7" s="80" t="s">
        <v>26</v>
      </c>
      <c r="C7" s="80" t="s">
        <v>0</v>
      </c>
      <c r="D7" s="80" t="s">
        <v>0</v>
      </c>
      <c r="E7" s="80" t="s">
        <v>27</v>
      </c>
      <c r="F7" s="80" t="s">
        <v>0</v>
      </c>
      <c r="G7" s="80" t="s">
        <v>215</v>
      </c>
      <c r="H7" s="80" t="s">
        <v>28</v>
      </c>
      <c r="I7" s="81"/>
      <c r="J7" s="81"/>
    </row>
    <row r="8" spans="1:10" ht="28.5" customHeight="1">
      <c r="A8" s="80" t="s">
        <v>0</v>
      </c>
      <c r="B8" s="8" t="s">
        <v>29</v>
      </c>
      <c r="C8" s="8" t="s">
        <v>30</v>
      </c>
      <c r="D8" s="8" t="s">
        <v>31</v>
      </c>
      <c r="E8" s="8" t="s">
        <v>32</v>
      </c>
      <c r="F8" s="8" t="s">
        <v>33</v>
      </c>
      <c r="G8" s="80" t="s">
        <v>0</v>
      </c>
      <c r="H8" s="8" t="s">
        <v>29</v>
      </c>
      <c r="I8" s="8" t="s">
        <v>30</v>
      </c>
      <c r="J8" s="8" t="s">
        <v>31</v>
      </c>
    </row>
    <row r="9" spans="1:10" ht="12" customHeight="1">
      <c r="A9" s="78" t="s">
        <v>216</v>
      </c>
      <c r="B9" s="79"/>
      <c r="C9" s="79"/>
      <c r="D9" s="79"/>
      <c r="E9" s="79"/>
      <c r="F9" s="79"/>
      <c r="G9" s="79"/>
      <c r="H9" s="79"/>
      <c r="I9" s="79"/>
      <c r="J9" s="79"/>
    </row>
    <row r="10" spans="1:10" ht="12" customHeight="1">
      <c r="A10" s="61">
        <v>1926</v>
      </c>
      <c r="B10" s="36">
        <v>730500</v>
      </c>
      <c r="C10" s="36">
        <v>699200</v>
      </c>
      <c r="D10" s="36">
        <v>1429700</v>
      </c>
      <c r="E10" s="37">
        <v>28500</v>
      </c>
      <c r="F10" s="38">
        <v>2.0299999999999998</v>
      </c>
      <c r="G10" s="39">
        <v>104.5</v>
      </c>
      <c r="H10" s="36">
        <v>722600</v>
      </c>
      <c r="I10" s="36">
        <v>691200</v>
      </c>
      <c r="J10" s="36">
        <v>1413700</v>
      </c>
    </row>
    <row r="11" spans="1:10" ht="12" customHeight="1">
      <c r="A11" s="61">
        <v>1927</v>
      </c>
      <c r="B11" s="36">
        <v>740500</v>
      </c>
      <c r="C11" s="36">
        <v>709900</v>
      </c>
      <c r="D11" s="36">
        <v>1450400</v>
      </c>
      <c r="E11" s="37">
        <v>20700</v>
      </c>
      <c r="F11" s="38">
        <v>1.45</v>
      </c>
      <c r="G11" s="39">
        <v>104.3</v>
      </c>
      <c r="H11" s="36">
        <v>735000</v>
      </c>
      <c r="I11" s="36">
        <v>704000</v>
      </c>
      <c r="J11" s="36">
        <v>1439000</v>
      </c>
    </row>
    <row r="12" spans="1:10" ht="12" customHeight="1">
      <c r="A12" s="61">
        <v>1928</v>
      </c>
      <c r="B12" s="36">
        <v>748600</v>
      </c>
      <c r="C12" s="36">
        <v>718700</v>
      </c>
      <c r="D12" s="36">
        <v>1467400</v>
      </c>
      <c r="E12" s="37">
        <v>17000</v>
      </c>
      <c r="F12" s="38">
        <v>1.17</v>
      </c>
      <c r="G12" s="39">
        <v>104.2</v>
      </c>
      <c r="H12" s="36">
        <v>743000</v>
      </c>
      <c r="I12" s="36">
        <v>713000</v>
      </c>
      <c r="J12" s="36">
        <v>1456100</v>
      </c>
    </row>
    <row r="13" spans="1:10" ht="12" customHeight="1">
      <c r="A13" s="61">
        <v>1929</v>
      </c>
      <c r="B13" s="36">
        <v>757800</v>
      </c>
      <c r="C13" s="36">
        <v>728300</v>
      </c>
      <c r="D13" s="36">
        <v>1486100</v>
      </c>
      <c r="E13" s="37">
        <v>18700</v>
      </c>
      <c r="F13" s="38">
        <v>1.27</v>
      </c>
      <c r="G13" s="39">
        <v>104.1</v>
      </c>
      <c r="H13" s="36">
        <v>751300</v>
      </c>
      <c r="I13" s="36">
        <v>722100</v>
      </c>
      <c r="J13" s="36">
        <v>1473400</v>
      </c>
    </row>
    <row r="14" spans="1:10" ht="12" customHeight="1">
      <c r="A14" s="61">
        <v>1930</v>
      </c>
      <c r="B14" s="36">
        <v>767900</v>
      </c>
      <c r="C14" s="36">
        <v>738900</v>
      </c>
      <c r="D14" s="36">
        <v>1506800</v>
      </c>
      <c r="E14" s="37">
        <v>20700</v>
      </c>
      <c r="F14" s="38">
        <v>1.39</v>
      </c>
      <c r="G14" s="39">
        <v>103.9</v>
      </c>
      <c r="H14" s="36">
        <v>761100</v>
      </c>
      <c r="I14" s="36">
        <v>732000</v>
      </c>
      <c r="J14" s="36">
        <v>1493000</v>
      </c>
    </row>
    <row r="15" spans="1:10" ht="12" customHeight="1">
      <c r="A15" s="61">
        <v>1931</v>
      </c>
      <c r="B15" s="36">
        <v>775600</v>
      </c>
      <c r="C15" s="36">
        <v>747100</v>
      </c>
      <c r="D15" s="36">
        <v>1522800</v>
      </c>
      <c r="E15" s="37">
        <v>16000</v>
      </c>
      <c r="F15" s="38">
        <v>1.06</v>
      </c>
      <c r="G15" s="39">
        <v>103.8</v>
      </c>
      <c r="H15" s="36">
        <v>771700</v>
      </c>
      <c r="I15" s="36">
        <v>742500</v>
      </c>
      <c r="J15" s="36">
        <v>1514200</v>
      </c>
    </row>
    <row r="16" spans="1:10" ht="12" customHeight="1">
      <c r="A16" s="61">
        <v>1932</v>
      </c>
      <c r="B16" s="36">
        <v>780900</v>
      </c>
      <c r="C16" s="36">
        <v>753800</v>
      </c>
      <c r="D16" s="36">
        <v>1534700</v>
      </c>
      <c r="E16" s="37">
        <v>11900</v>
      </c>
      <c r="F16" s="38">
        <v>0.78</v>
      </c>
      <c r="G16" s="39">
        <v>103.6</v>
      </c>
      <c r="H16" s="36">
        <v>777500</v>
      </c>
      <c r="I16" s="36">
        <v>749600</v>
      </c>
      <c r="J16" s="36">
        <v>1527100</v>
      </c>
    </row>
    <row r="17" spans="1:10" ht="12" customHeight="1">
      <c r="A17" s="61">
        <v>1933</v>
      </c>
      <c r="B17" s="36">
        <v>786400</v>
      </c>
      <c r="C17" s="36">
        <v>760800</v>
      </c>
      <c r="D17" s="36">
        <v>1547100</v>
      </c>
      <c r="E17" s="37">
        <v>12400</v>
      </c>
      <c r="F17" s="38">
        <v>0.81</v>
      </c>
      <c r="G17" s="39">
        <v>103.4</v>
      </c>
      <c r="H17" s="36">
        <v>783000</v>
      </c>
      <c r="I17" s="36">
        <v>756600</v>
      </c>
      <c r="J17" s="36">
        <v>1539600</v>
      </c>
    </row>
    <row r="18" spans="1:10" ht="12" customHeight="1">
      <c r="A18" s="61">
        <v>1934</v>
      </c>
      <c r="B18" s="36">
        <v>792000</v>
      </c>
      <c r="C18" s="36">
        <v>766400</v>
      </c>
      <c r="D18" s="36">
        <v>1558400</v>
      </c>
      <c r="E18" s="37">
        <v>11300</v>
      </c>
      <c r="F18" s="38">
        <v>0.73</v>
      </c>
      <c r="G18" s="39">
        <v>103.3</v>
      </c>
      <c r="H18" s="36">
        <v>788600</v>
      </c>
      <c r="I18" s="36">
        <v>762900</v>
      </c>
      <c r="J18" s="36">
        <v>1551500</v>
      </c>
    </row>
    <row r="19" spans="1:10" ht="12" customHeight="1">
      <c r="A19" s="61">
        <v>1935</v>
      </c>
      <c r="B19" s="36">
        <v>796700</v>
      </c>
      <c r="C19" s="36">
        <v>773000</v>
      </c>
      <c r="D19" s="36">
        <v>1569700</v>
      </c>
      <c r="E19" s="37">
        <v>11300</v>
      </c>
      <c r="F19" s="38">
        <v>0.73</v>
      </c>
      <c r="G19" s="39">
        <v>103.1</v>
      </c>
      <c r="H19" s="36">
        <v>793600</v>
      </c>
      <c r="I19" s="36">
        <v>768700</v>
      </c>
      <c r="J19" s="36">
        <v>1562200</v>
      </c>
    </row>
    <row r="20" spans="1:10" ht="12" customHeight="1">
      <c r="A20" s="61">
        <v>1936</v>
      </c>
      <c r="B20" s="36">
        <v>804300</v>
      </c>
      <c r="C20" s="36">
        <v>780300</v>
      </c>
      <c r="D20" s="36">
        <v>1584600</v>
      </c>
      <c r="E20" s="37">
        <v>14900</v>
      </c>
      <c r="F20" s="38">
        <v>0.95</v>
      </c>
      <c r="G20" s="39">
        <v>103.1</v>
      </c>
      <c r="H20" s="36">
        <v>799700</v>
      </c>
      <c r="I20" s="36">
        <v>775500</v>
      </c>
      <c r="J20" s="36">
        <v>1575200</v>
      </c>
    </row>
    <row r="21" spans="1:10" ht="12" customHeight="1">
      <c r="A21" s="61">
        <v>1937</v>
      </c>
      <c r="B21" s="36">
        <v>813100</v>
      </c>
      <c r="C21" s="36">
        <v>788700</v>
      </c>
      <c r="D21" s="36">
        <v>1601800</v>
      </c>
      <c r="E21" s="37">
        <v>17200</v>
      </c>
      <c r="F21" s="38">
        <v>1.0900000000000001</v>
      </c>
      <c r="G21" s="39">
        <v>103.1</v>
      </c>
      <c r="H21" s="36">
        <v>807300</v>
      </c>
      <c r="I21" s="36">
        <v>782700</v>
      </c>
      <c r="J21" s="36">
        <v>1590000</v>
      </c>
    </row>
    <row r="22" spans="1:10" ht="12" customHeight="1">
      <c r="A22" s="61">
        <v>1938</v>
      </c>
      <c r="B22" s="36">
        <v>821700</v>
      </c>
      <c r="C22" s="36">
        <v>796600</v>
      </c>
      <c r="D22" s="36">
        <v>1618300</v>
      </c>
      <c r="E22" s="37">
        <v>16500</v>
      </c>
      <c r="F22" s="38">
        <v>1.03</v>
      </c>
      <c r="G22" s="39">
        <v>103.2</v>
      </c>
      <c r="H22" s="36">
        <v>815700</v>
      </c>
      <c r="I22" s="36">
        <v>791000</v>
      </c>
      <c r="J22" s="36">
        <v>1606800</v>
      </c>
    </row>
    <row r="23" spans="1:10" ht="12" customHeight="1">
      <c r="A23" s="61">
        <v>1939</v>
      </c>
      <c r="B23" s="36">
        <v>832800</v>
      </c>
      <c r="C23" s="36">
        <v>808800</v>
      </c>
      <c r="D23" s="36">
        <v>1641600</v>
      </c>
      <c r="E23" s="37">
        <v>23300</v>
      </c>
      <c r="F23" s="38">
        <v>1.44</v>
      </c>
      <c r="G23" s="39">
        <v>103</v>
      </c>
      <c r="H23" s="36">
        <v>826800</v>
      </c>
      <c r="I23" s="36">
        <v>801700</v>
      </c>
      <c r="J23" s="36">
        <v>1628500</v>
      </c>
    </row>
    <row r="24" spans="1:10" ht="12" customHeight="1">
      <c r="A24" s="61">
        <v>1940</v>
      </c>
      <c r="B24" s="36">
        <v>813000</v>
      </c>
      <c r="C24" s="36">
        <v>820600</v>
      </c>
      <c r="D24" s="36">
        <v>1633600</v>
      </c>
      <c r="E24" s="37">
        <v>-8000</v>
      </c>
      <c r="F24" s="38">
        <v>-0.49</v>
      </c>
      <c r="G24" s="39">
        <v>99.1</v>
      </c>
      <c r="H24" s="36">
        <v>822800</v>
      </c>
      <c r="I24" s="36">
        <v>814500</v>
      </c>
      <c r="J24" s="36">
        <v>1637300</v>
      </c>
    </row>
    <row r="25" spans="1:10" ht="12" customHeight="1">
      <c r="A25" s="61">
        <v>1941</v>
      </c>
      <c r="B25" s="36">
        <v>799200</v>
      </c>
      <c r="C25" s="36">
        <v>832000</v>
      </c>
      <c r="D25" s="36">
        <v>1631200</v>
      </c>
      <c r="E25" s="37">
        <v>-2400</v>
      </c>
      <c r="F25" s="38">
        <v>-0.15</v>
      </c>
      <c r="G25" s="39">
        <v>96.1</v>
      </c>
      <c r="H25" s="36">
        <v>804700</v>
      </c>
      <c r="I25" s="36">
        <v>826200</v>
      </c>
      <c r="J25" s="36">
        <v>1630900</v>
      </c>
    </row>
    <row r="26" spans="1:10" ht="12" customHeight="1">
      <c r="A26" s="61">
        <v>1942</v>
      </c>
      <c r="B26" s="36">
        <v>793700</v>
      </c>
      <c r="C26" s="36">
        <v>842700</v>
      </c>
      <c r="D26" s="36">
        <v>1636400</v>
      </c>
      <c r="E26" s="37">
        <v>5200</v>
      </c>
      <c r="F26" s="38">
        <v>0.32</v>
      </c>
      <c r="G26" s="39">
        <v>94.2</v>
      </c>
      <c r="H26" s="36">
        <v>801700</v>
      </c>
      <c r="I26" s="36">
        <v>837800</v>
      </c>
      <c r="J26" s="36">
        <v>1639500</v>
      </c>
    </row>
    <row r="27" spans="1:10" ht="12" customHeight="1">
      <c r="A27" s="61">
        <v>1943</v>
      </c>
      <c r="B27" s="36">
        <v>790800</v>
      </c>
      <c r="C27" s="36">
        <v>851200</v>
      </c>
      <c r="D27" s="36">
        <v>1642000</v>
      </c>
      <c r="E27" s="37">
        <v>5600</v>
      </c>
      <c r="F27" s="38">
        <v>0.34</v>
      </c>
      <c r="G27" s="39">
        <v>92.9</v>
      </c>
      <c r="H27" s="36">
        <v>788900</v>
      </c>
      <c r="I27" s="36">
        <v>846700</v>
      </c>
      <c r="J27" s="36">
        <v>1635600</v>
      </c>
    </row>
    <row r="28" spans="1:10" ht="12" customHeight="1">
      <c r="A28" s="61">
        <v>1944</v>
      </c>
      <c r="B28" s="36">
        <v>813600</v>
      </c>
      <c r="C28" s="36">
        <v>862700</v>
      </c>
      <c r="D28" s="36">
        <v>1676300</v>
      </c>
      <c r="E28" s="37">
        <v>34300</v>
      </c>
      <c r="F28" s="38">
        <v>2.09</v>
      </c>
      <c r="G28" s="39">
        <v>94.3</v>
      </c>
      <c r="H28" s="36">
        <v>799000</v>
      </c>
      <c r="I28" s="36">
        <v>856800</v>
      </c>
      <c r="J28" s="36">
        <v>1655800</v>
      </c>
    </row>
    <row r="29" spans="1:10" ht="12" customHeight="1">
      <c r="A29" s="61">
        <v>1945</v>
      </c>
      <c r="B29" s="36">
        <v>855500</v>
      </c>
      <c r="C29" s="36">
        <v>872300</v>
      </c>
      <c r="D29" s="36">
        <v>1727800</v>
      </c>
      <c r="E29" s="37">
        <v>51500</v>
      </c>
      <c r="F29" s="38">
        <v>3.07</v>
      </c>
      <c r="G29" s="39">
        <v>98.1</v>
      </c>
      <c r="H29" s="36">
        <v>826900</v>
      </c>
      <c r="I29" s="36">
        <v>867800</v>
      </c>
      <c r="J29" s="36">
        <v>1694700</v>
      </c>
    </row>
    <row r="30" spans="1:10" ht="12" customHeight="1">
      <c r="A30" s="61">
        <v>1946</v>
      </c>
      <c r="B30" s="36">
        <v>891300</v>
      </c>
      <c r="C30" s="36">
        <v>889900</v>
      </c>
      <c r="D30" s="36">
        <v>1781200</v>
      </c>
      <c r="E30" s="37">
        <v>53400</v>
      </c>
      <c r="F30" s="38">
        <v>3.09</v>
      </c>
      <c r="G30" s="39">
        <v>100.2</v>
      </c>
      <c r="H30" s="36">
        <v>878600</v>
      </c>
      <c r="I30" s="36">
        <v>881000</v>
      </c>
      <c r="J30" s="36">
        <v>1759600</v>
      </c>
    </row>
    <row r="31" spans="1:10" ht="12" customHeight="1">
      <c r="A31" s="61">
        <v>1947</v>
      </c>
      <c r="B31" s="36">
        <v>910100</v>
      </c>
      <c r="C31" s="36">
        <v>907400</v>
      </c>
      <c r="D31" s="36">
        <v>1817500</v>
      </c>
      <c r="E31" s="37">
        <v>36300</v>
      </c>
      <c r="F31" s="38">
        <v>2.04</v>
      </c>
      <c r="G31" s="39">
        <v>100.3</v>
      </c>
      <c r="H31" s="36">
        <v>899800</v>
      </c>
      <c r="I31" s="36">
        <v>898500</v>
      </c>
      <c r="J31" s="36">
        <v>1798300</v>
      </c>
    </row>
    <row r="32" spans="1:10" ht="12" customHeight="1">
      <c r="A32" s="61">
        <v>1948</v>
      </c>
      <c r="B32" s="36">
        <v>929300</v>
      </c>
      <c r="C32" s="36">
        <v>924600</v>
      </c>
      <c r="D32" s="36">
        <v>1853900</v>
      </c>
      <c r="E32" s="37">
        <v>36400</v>
      </c>
      <c r="F32" s="38">
        <v>2</v>
      </c>
      <c r="G32" s="39">
        <v>100.5</v>
      </c>
      <c r="H32" s="36">
        <v>918700</v>
      </c>
      <c r="I32" s="36">
        <v>916000</v>
      </c>
      <c r="J32" s="36">
        <v>1834700</v>
      </c>
    </row>
    <row r="33" spans="1:10" ht="12" customHeight="1">
      <c r="A33" s="61">
        <v>1949</v>
      </c>
      <c r="B33" s="36">
        <v>949500</v>
      </c>
      <c r="C33" s="36">
        <v>942600</v>
      </c>
      <c r="D33" s="36">
        <v>1892100</v>
      </c>
      <c r="E33" s="37">
        <v>38200</v>
      </c>
      <c r="F33" s="38">
        <v>2.06</v>
      </c>
      <c r="G33" s="39">
        <v>100.7</v>
      </c>
      <c r="H33" s="36">
        <v>938500</v>
      </c>
      <c r="I33" s="36">
        <v>933200</v>
      </c>
      <c r="J33" s="36">
        <v>1871700</v>
      </c>
    </row>
    <row r="34" spans="1:10" ht="12" customHeight="1">
      <c r="A34" s="61">
        <v>1950</v>
      </c>
      <c r="B34" s="36">
        <v>967300</v>
      </c>
      <c r="C34" s="36">
        <v>960400</v>
      </c>
      <c r="D34" s="36">
        <v>1927700</v>
      </c>
      <c r="E34" s="37">
        <v>35600</v>
      </c>
      <c r="F34" s="38">
        <v>1.88</v>
      </c>
      <c r="G34" s="39">
        <v>100.7</v>
      </c>
      <c r="H34" s="36">
        <v>958300</v>
      </c>
      <c r="I34" s="36">
        <v>950800</v>
      </c>
      <c r="J34" s="36">
        <v>1909100</v>
      </c>
    </row>
    <row r="35" spans="1:10" ht="12" customHeight="1">
      <c r="A35" s="61">
        <v>1951</v>
      </c>
      <c r="B35" s="36">
        <v>989500</v>
      </c>
      <c r="C35" s="36">
        <v>981000</v>
      </c>
      <c r="D35" s="36">
        <v>1970500</v>
      </c>
      <c r="E35" s="37">
        <v>42800</v>
      </c>
      <c r="F35" s="38">
        <v>2.2200000000000002</v>
      </c>
      <c r="G35" s="39">
        <v>100.9</v>
      </c>
      <c r="H35" s="36">
        <v>977900</v>
      </c>
      <c r="I35" s="36">
        <v>969700</v>
      </c>
      <c r="J35" s="36">
        <v>1947600</v>
      </c>
    </row>
    <row r="36" spans="1:10" ht="12" customHeight="1">
      <c r="A36" s="61">
        <v>1952</v>
      </c>
      <c r="B36" s="36">
        <v>1017900</v>
      </c>
      <c r="C36" s="36">
        <v>1006700</v>
      </c>
      <c r="D36" s="36">
        <v>2024600</v>
      </c>
      <c r="E36" s="37">
        <v>54100</v>
      </c>
      <c r="F36" s="38">
        <v>2.75</v>
      </c>
      <c r="G36" s="39">
        <v>101.1</v>
      </c>
      <c r="H36" s="36">
        <v>1003400</v>
      </c>
      <c r="I36" s="36">
        <v>992800</v>
      </c>
      <c r="J36" s="36">
        <v>1996200</v>
      </c>
    </row>
    <row r="37" spans="1:10" ht="12" customHeight="1">
      <c r="A37" s="61">
        <v>1953</v>
      </c>
      <c r="B37" s="36">
        <v>1043100</v>
      </c>
      <c r="C37" s="36">
        <v>1031600</v>
      </c>
      <c r="D37" s="36">
        <v>2074700</v>
      </c>
      <c r="E37" s="37">
        <v>50100</v>
      </c>
      <c r="F37" s="38">
        <v>2.4700000000000002</v>
      </c>
      <c r="G37" s="39">
        <v>101.1</v>
      </c>
      <c r="H37" s="36">
        <v>1030200</v>
      </c>
      <c r="I37" s="36">
        <v>1018600</v>
      </c>
      <c r="J37" s="36">
        <v>2048800</v>
      </c>
    </row>
    <row r="38" spans="1:10" ht="12" customHeight="1">
      <c r="A38" s="61">
        <v>1954</v>
      </c>
      <c r="B38" s="36">
        <v>1065400</v>
      </c>
      <c r="C38" s="36">
        <v>1053000</v>
      </c>
      <c r="D38" s="36">
        <v>2118400</v>
      </c>
      <c r="E38" s="37">
        <v>43700</v>
      </c>
      <c r="F38" s="38">
        <v>2.11</v>
      </c>
      <c r="G38" s="39">
        <v>101.2</v>
      </c>
      <c r="H38" s="36">
        <v>1053400</v>
      </c>
      <c r="I38" s="36">
        <v>1041500</v>
      </c>
      <c r="J38" s="36">
        <v>2094900</v>
      </c>
    </row>
    <row r="39" spans="1:10" ht="12" customHeight="1">
      <c r="A39" s="61">
        <v>1955</v>
      </c>
      <c r="B39" s="36">
        <v>1089100</v>
      </c>
      <c r="C39" s="36">
        <v>1075700</v>
      </c>
      <c r="D39" s="36">
        <v>2164800</v>
      </c>
      <c r="E39" s="37">
        <v>46400</v>
      </c>
      <c r="F39" s="38">
        <v>2.19</v>
      </c>
      <c r="G39" s="39">
        <v>101.2</v>
      </c>
      <c r="H39" s="36">
        <v>1076000</v>
      </c>
      <c r="I39" s="36">
        <v>1063000</v>
      </c>
      <c r="J39" s="36">
        <v>2139000</v>
      </c>
    </row>
    <row r="40" spans="1:10" ht="12" customHeight="1">
      <c r="A40" s="61">
        <v>1956</v>
      </c>
      <c r="B40" s="36">
        <v>1111200</v>
      </c>
      <c r="C40" s="36">
        <v>1098000</v>
      </c>
      <c r="D40" s="36">
        <v>2209200</v>
      </c>
      <c r="E40" s="37">
        <v>44400</v>
      </c>
      <c r="F40" s="38">
        <v>2.0499999999999998</v>
      </c>
      <c r="G40" s="39">
        <v>101.2</v>
      </c>
      <c r="H40" s="36">
        <v>1097700</v>
      </c>
      <c r="I40" s="36">
        <v>1085100</v>
      </c>
      <c r="J40" s="36">
        <v>2182800</v>
      </c>
    </row>
    <row r="41" spans="1:10" ht="12" customHeight="1">
      <c r="A41" s="61">
        <v>1957</v>
      </c>
      <c r="B41" s="36">
        <v>1137800</v>
      </c>
      <c r="C41" s="36">
        <v>1125000</v>
      </c>
      <c r="D41" s="36">
        <v>2262800</v>
      </c>
      <c r="E41" s="37">
        <v>53600</v>
      </c>
      <c r="F41" s="38">
        <v>2.4300000000000002</v>
      </c>
      <c r="G41" s="39">
        <v>101.1</v>
      </c>
      <c r="H41" s="36">
        <v>1122600</v>
      </c>
      <c r="I41" s="36">
        <v>1109900</v>
      </c>
      <c r="J41" s="36">
        <v>2232500</v>
      </c>
    </row>
    <row r="42" spans="1:10" ht="12" customHeight="1">
      <c r="A42" s="61">
        <v>1958</v>
      </c>
      <c r="B42" s="36">
        <v>1165600</v>
      </c>
      <c r="C42" s="36">
        <v>1150400</v>
      </c>
      <c r="D42" s="36">
        <v>2316000</v>
      </c>
      <c r="E42" s="37">
        <v>53200</v>
      </c>
      <c r="F42" s="38">
        <v>2.35</v>
      </c>
      <c r="G42" s="39">
        <v>101.3</v>
      </c>
      <c r="H42" s="36">
        <v>1149800</v>
      </c>
      <c r="I42" s="36">
        <v>1136000</v>
      </c>
      <c r="J42" s="36">
        <v>2285800</v>
      </c>
    </row>
    <row r="43" spans="1:10" ht="12" customHeight="1">
      <c r="A43" s="61">
        <v>1959</v>
      </c>
      <c r="B43" s="36">
        <v>1186000</v>
      </c>
      <c r="C43" s="36">
        <v>1173700</v>
      </c>
      <c r="D43" s="36">
        <v>2359700</v>
      </c>
      <c r="E43" s="37">
        <v>43700</v>
      </c>
      <c r="F43" s="38">
        <v>1.89</v>
      </c>
      <c r="G43" s="39">
        <v>101</v>
      </c>
      <c r="H43" s="36">
        <v>1174100</v>
      </c>
      <c r="I43" s="36">
        <v>1160500</v>
      </c>
      <c r="J43" s="36">
        <v>2334600</v>
      </c>
    </row>
    <row r="44" spans="1:10" ht="12" customHeight="1">
      <c r="A44" s="61">
        <v>1960</v>
      </c>
      <c r="B44" s="36">
        <v>1207900</v>
      </c>
      <c r="C44" s="36">
        <v>1195700</v>
      </c>
      <c r="D44" s="36">
        <v>2403600</v>
      </c>
      <c r="E44" s="37">
        <v>43900</v>
      </c>
      <c r="F44" s="38">
        <v>1.86</v>
      </c>
      <c r="G44" s="39">
        <v>101</v>
      </c>
      <c r="H44" s="36">
        <v>1194700</v>
      </c>
      <c r="I44" s="36">
        <v>1182300</v>
      </c>
      <c r="J44" s="36">
        <v>2377000</v>
      </c>
    </row>
    <row r="45" spans="1:10" ht="12" customHeight="1">
      <c r="A45" s="61">
        <v>1961</v>
      </c>
      <c r="B45" s="36">
        <v>1238000</v>
      </c>
      <c r="C45" s="36">
        <v>1223300</v>
      </c>
      <c r="D45" s="36">
        <v>2461300</v>
      </c>
      <c r="E45" s="37">
        <v>57700</v>
      </c>
      <c r="F45" s="38">
        <v>2.4</v>
      </c>
      <c r="G45" s="39">
        <v>101.2</v>
      </c>
      <c r="H45" s="36">
        <v>1219900</v>
      </c>
      <c r="I45" s="36">
        <v>1206800</v>
      </c>
      <c r="J45" s="36">
        <v>2426700</v>
      </c>
    </row>
    <row r="46" spans="1:10" ht="12" customHeight="1">
      <c r="A46" s="61">
        <v>1962</v>
      </c>
      <c r="B46" s="36">
        <v>1264100</v>
      </c>
      <c r="C46" s="36">
        <v>1251700</v>
      </c>
      <c r="D46" s="36">
        <v>2515800</v>
      </c>
      <c r="E46" s="37">
        <v>54500</v>
      </c>
      <c r="F46" s="38">
        <v>2.21</v>
      </c>
      <c r="G46" s="39">
        <v>101</v>
      </c>
      <c r="H46" s="36">
        <v>1249300</v>
      </c>
      <c r="I46" s="36">
        <v>1235600</v>
      </c>
      <c r="J46" s="36">
        <v>2484900</v>
      </c>
    </row>
    <row r="47" spans="1:10" ht="12" customHeight="1">
      <c r="A47" s="61">
        <v>1963</v>
      </c>
      <c r="B47" s="36">
        <v>1288400</v>
      </c>
      <c r="C47" s="36">
        <v>1278500</v>
      </c>
      <c r="D47" s="36">
        <v>2566900</v>
      </c>
      <c r="E47" s="37">
        <v>51100</v>
      </c>
      <c r="F47" s="38">
        <v>2.0299999999999998</v>
      </c>
      <c r="G47" s="39">
        <v>100.8</v>
      </c>
      <c r="H47" s="36">
        <v>1273700</v>
      </c>
      <c r="I47" s="36">
        <v>1263200</v>
      </c>
      <c r="J47" s="36">
        <v>2536900</v>
      </c>
    </row>
    <row r="48" spans="1:10" ht="12" customHeight="1">
      <c r="A48" s="61">
        <v>1964</v>
      </c>
      <c r="B48" s="36">
        <v>1313000</v>
      </c>
      <c r="C48" s="36">
        <v>1304000</v>
      </c>
      <c r="D48" s="36">
        <v>2617000</v>
      </c>
      <c r="E48" s="37">
        <v>50100</v>
      </c>
      <c r="F48" s="38">
        <v>1.95</v>
      </c>
      <c r="G48" s="39">
        <v>100.7</v>
      </c>
      <c r="H48" s="36">
        <v>1299300</v>
      </c>
      <c r="I48" s="36">
        <v>1289800</v>
      </c>
      <c r="J48" s="36">
        <v>2589100</v>
      </c>
    </row>
    <row r="49" spans="1:10" ht="12" customHeight="1">
      <c r="A49" s="61">
        <v>1965</v>
      </c>
      <c r="B49" s="36">
        <v>1336700</v>
      </c>
      <c r="C49" s="36">
        <v>1327100</v>
      </c>
      <c r="D49" s="36">
        <v>2663800</v>
      </c>
      <c r="E49" s="37">
        <v>46800</v>
      </c>
      <c r="F49" s="38">
        <v>1.79</v>
      </c>
      <c r="G49" s="39">
        <v>100.7</v>
      </c>
      <c r="H49" s="36">
        <v>1321900</v>
      </c>
      <c r="I49" s="36">
        <v>1313400</v>
      </c>
      <c r="J49" s="36">
        <v>2635300</v>
      </c>
    </row>
    <row r="50" spans="1:10" ht="12" customHeight="1">
      <c r="A50" s="61">
        <v>1966</v>
      </c>
      <c r="B50" s="36">
        <v>1360300</v>
      </c>
      <c r="C50" s="36">
        <v>1351000</v>
      </c>
      <c r="D50" s="36">
        <v>2711300</v>
      </c>
      <c r="E50" s="37">
        <v>47500</v>
      </c>
      <c r="F50" s="38">
        <v>1.78</v>
      </c>
      <c r="G50" s="39">
        <v>100.7</v>
      </c>
      <c r="H50" s="36">
        <v>1346000</v>
      </c>
      <c r="I50" s="36">
        <v>1336600</v>
      </c>
      <c r="J50" s="36">
        <v>2682600</v>
      </c>
    </row>
    <row r="51" spans="1:10" ht="12" customHeight="1">
      <c r="A51" s="61">
        <v>1967</v>
      </c>
      <c r="B51" s="36">
        <v>1373600</v>
      </c>
      <c r="C51" s="36">
        <v>1371400</v>
      </c>
      <c r="D51" s="36">
        <v>2745000</v>
      </c>
      <c r="E51" s="37">
        <v>33700</v>
      </c>
      <c r="F51" s="38">
        <v>1.24</v>
      </c>
      <c r="G51" s="39">
        <v>100.2</v>
      </c>
      <c r="H51" s="36">
        <v>1367100</v>
      </c>
      <c r="I51" s="36">
        <v>1360600</v>
      </c>
      <c r="J51" s="36">
        <v>2727700</v>
      </c>
    </row>
    <row r="52" spans="1:10" ht="12" customHeight="1">
      <c r="A52" s="61">
        <v>1968</v>
      </c>
      <c r="B52" s="36">
        <v>1385400</v>
      </c>
      <c r="C52" s="36">
        <v>1387600</v>
      </c>
      <c r="D52" s="36">
        <v>2773000</v>
      </c>
      <c r="E52" s="37">
        <v>28000</v>
      </c>
      <c r="F52" s="38">
        <v>1.02</v>
      </c>
      <c r="G52" s="39">
        <v>99.8</v>
      </c>
      <c r="H52" s="36">
        <v>1377000</v>
      </c>
      <c r="I52" s="36">
        <v>1376500</v>
      </c>
      <c r="J52" s="36">
        <v>2753500</v>
      </c>
    </row>
    <row r="53" spans="1:10" ht="12" customHeight="1">
      <c r="A53" s="61">
        <v>1969</v>
      </c>
      <c r="B53" s="36">
        <v>1399800</v>
      </c>
      <c r="C53" s="36">
        <v>1404200</v>
      </c>
      <c r="D53" s="36">
        <v>2804000</v>
      </c>
      <c r="E53" s="37">
        <v>31000</v>
      </c>
      <c r="F53" s="38">
        <v>1.1200000000000001</v>
      </c>
      <c r="G53" s="39">
        <v>99.7</v>
      </c>
      <c r="H53" s="36">
        <v>1388100</v>
      </c>
      <c r="I53" s="36">
        <v>1392000</v>
      </c>
      <c r="J53" s="36">
        <v>2780100</v>
      </c>
    </row>
    <row r="54" spans="1:10" ht="12" customHeight="1">
      <c r="A54" s="61">
        <v>1970</v>
      </c>
      <c r="B54" s="36">
        <v>1425400</v>
      </c>
      <c r="C54" s="36">
        <v>1426700</v>
      </c>
      <c r="D54" s="36">
        <v>2852100</v>
      </c>
      <c r="E54" s="37">
        <v>48100</v>
      </c>
      <c r="F54" s="38">
        <v>1.72</v>
      </c>
      <c r="G54" s="39">
        <v>99.9</v>
      </c>
      <c r="H54" s="36">
        <v>1408900</v>
      </c>
      <c r="I54" s="36">
        <v>1410700</v>
      </c>
      <c r="J54" s="36">
        <v>2819600</v>
      </c>
    </row>
    <row r="55" spans="1:10" ht="12" customHeight="1">
      <c r="A55" s="61">
        <v>1971</v>
      </c>
      <c r="B55" s="36">
        <v>1447400</v>
      </c>
      <c r="C55" s="36">
        <v>1451100</v>
      </c>
      <c r="D55" s="36">
        <v>2898500</v>
      </c>
      <c r="E55" s="37">
        <v>46400</v>
      </c>
      <c r="F55" s="38">
        <v>1.63</v>
      </c>
      <c r="G55" s="39">
        <v>99.7</v>
      </c>
      <c r="H55" s="36">
        <v>1431000</v>
      </c>
      <c r="I55" s="36">
        <v>1433200</v>
      </c>
      <c r="J55" s="36">
        <v>2864200</v>
      </c>
    </row>
    <row r="56" spans="1:10" ht="12" customHeight="1">
      <c r="A56" s="61">
        <v>1972</v>
      </c>
      <c r="B56" s="36">
        <v>1477800</v>
      </c>
      <c r="C56" s="36">
        <v>1481900</v>
      </c>
      <c r="D56" s="36">
        <v>2959700</v>
      </c>
      <c r="E56" s="37">
        <v>61200</v>
      </c>
      <c r="F56" s="38">
        <v>2.11</v>
      </c>
      <c r="G56" s="39">
        <v>99.7</v>
      </c>
      <c r="H56" s="36">
        <v>1456200</v>
      </c>
      <c r="I56" s="36">
        <v>1459400</v>
      </c>
      <c r="J56" s="36">
        <v>2915600</v>
      </c>
    </row>
    <row r="57" spans="1:10" ht="12" customHeight="1">
      <c r="A57" s="61">
        <v>1973</v>
      </c>
      <c r="B57" s="36">
        <v>1510000</v>
      </c>
      <c r="C57" s="36">
        <v>1514900</v>
      </c>
      <c r="D57" s="36">
        <v>3024900</v>
      </c>
      <c r="E57" s="37">
        <v>65200</v>
      </c>
      <c r="F57" s="38">
        <v>2.2000000000000002</v>
      </c>
      <c r="G57" s="39">
        <v>99.7</v>
      </c>
      <c r="H57" s="36">
        <v>1487200</v>
      </c>
      <c r="I57" s="36">
        <v>1489900</v>
      </c>
      <c r="J57" s="36">
        <v>2977100</v>
      </c>
    </row>
    <row r="58" spans="1:10" ht="12" customHeight="1">
      <c r="A58" s="61">
        <v>1974</v>
      </c>
      <c r="B58" s="36">
        <v>1543900</v>
      </c>
      <c r="C58" s="36">
        <v>1548000</v>
      </c>
      <c r="D58" s="36">
        <v>3091900</v>
      </c>
      <c r="E58" s="37">
        <v>67000</v>
      </c>
      <c r="F58" s="38">
        <v>2.21</v>
      </c>
      <c r="G58" s="39">
        <v>99.7</v>
      </c>
      <c r="H58" s="36">
        <v>1518900</v>
      </c>
      <c r="I58" s="36">
        <v>1522900</v>
      </c>
      <c r="J58" s="36">
        <v>3041800</v>
      </c>
    </row>
    <row r="59" spans="1:10" ht="12" customHeight="1">
      <c r="A59" s="61">
        <v>1975</v>
      </c>
      <c r="B59" s="36">
        <v>1567600</v>
      </c>
      <c r="C59" s="36">
        <v>1576100</v>
      </c>
      <c r="D59" s="36">
        <v>3143700</v>
      </c>
      <c r="E59" s="37">
        <v>51800</v>
      </c>
      <c r="F59" s="38">
        <v>1.68</v>
      </c>
      <c r="G59" s="39">
        <v>99.5</v>
      </c>
      <c r="H59" s="36">
        <v>1547600</v>
      </c>
      <c r="I59" s="36">
        <v>1552500</v>
      </c>
      <c r="J59" s="36">
        <v>3100100</v>
      </c>
    </row>
    <row r="60" spans="1:10" ht="12" customHeight="1">
      <c r="A60" s="61">
        <v>1976</v>
      </c>
      <c r="B60" s="36">
        <v>1578100</v>
      </c>
      <c r="C60" s="36">
        <v>1585300</v>
      </c>
      <c r="D60" s="36">
        <v>3163400</v>
      </c>
      <c r="E60" s="37">
        <v>19700</v>
      </c>
      <c r="F60" s="38">
        <v>0.63</v>
      </c>
      <c r="G60" s="39">
        <v>99.5</v>
      </c>
      <c r="H60" s="36">
        <v>1562900</v>
      </c>
      <c r="I60" s="36">
        <v>1568900</v>
      </c>
      <c r="J60" s="36">
        <v>3131800</v>
      </c>
    </row>
    <row r="61" spans="1:10" ht="12" customHeight="1">
      <c r="A61" s="61">
        <v>1977</v>
      </c>
      <c r="B61" s="36">
        <v>1578400</v>
      </c>
      <c r="C61" s="36">
        <v>1588000</v>
      </c>
      <c r="D61" s="36">
        <v>3166400</v>
      </c>
      <c r="E61" s="37">
        <v>3000</v>
      </c>
      <c r="F61" s="38">
        <v>0.09</v>
      </c>
      <c r="G61" s="39">
        <v>99.4</v>
      </c>
      <c r="H61" s="36">
        <v>1567100</v>
      </c>
      <c r="I61" s="36">
        <v>1575500</v>
      </c>
      <c r="J61" s="36">
        <v>3142600</v>
      </c>
    </row>
    <row r="62" spans="1:10" ht="12" customHeight="1">
      <c r="A62" s="61">
        <v>1978</v>
      </c>
      <c r="B62" s="36">
        <v>1575900</v>
      </c>
      <c r="C62" s="36">
        <v>1589300</v>
      </c>
      <c r="D62" s="36">
        <v>3165200</v>
      </c>
      <c r="E62" s="37">
        <v>-1200</v>
      </c>
      <c r="F62" s="38">
        <v>-0.04</v>
      </c>
      <c r="G62" s="39">
        <v>99.2</v>
      </c>
      <c r="H62" s="36">
        <v>1566700</v>
      </c>
      <c r="I62" s="36">
        <v>1576800</v>
      </c>
      <c r="J62" s="36">
        <v>3143500</v>
      </c>
    </row>
    <row r="63" spans="1:10" ht="12" customHeight="1">
      <c r="A63" s="61">
        <v>1979</v>
      </c>
      <c r="B63" s="36">
        <v>1573800</v>
      </c>
      <c r="C63" s="36">
        <v>1590100</v>
      </c>
      <c r="D63" s="36">
        <v>3163900</v>
      </c>
      <c r="E63" s="37">
        <v>-1300</v>
      </c>
      <c r="F63" s="38">
        <v>-0.04</v>
      </c>
      <c r="G63" s="39">
        <v>99</v>
      </c>
      <c r="H63" s="36">
        <v>1561700</v>
      </c>
      <c r="I63" s="36">
        <v>1576100</v>
      </c>
      <c r="J63" s="36">
        <v>3137800</v>
      </c>
    </row>
    <row r="64" spans="1:10" ht="12" customHeight="1">
      <c r="A64" s="61">
        <v>1980</v>
      </c>
      <c r="B64" s="36">
        <v>1581500</v>
      </c>
      <c r="C64" s="36">
        <v>1594900</v>
      </c>
      <c r="D64" s="36">
        <v>3176400</v>
      </c>
      <c r="E64" s="37">
        <v>12500</v>
      </c>
      <c r="F64" s="38">
        <v>0.4</v>
      </c>
      <c r="G64" s="39">
        <v>99.2</v>
      </c>
      <c r="H64" s="36">
        <v>1563600</v>
      </c>
      <c r="I64" s="36">
        <v>1580400</v>
      </c>
      <c r="J64" s="36">
        <v>3144000</v>
      </c>
    </row>
    <row r="65" spans="1:10" ht="12" customHeight="1">
      <c r="A65" s="61">
        <v>1981</v>
      </c>
      <c r="B65" s="36">
        <v>1586900</v>
      </c>
      <c r="C65" s="36">
        <v>1607600</v>
      </c>
      <c r="D65" s="36">
        <v>3194500</v>
      </c>
      <c r="E65" s="37">
        <v>18100</v>
      </c>
      <c r="F65" s="38">
        <v>0.56999999999999995</v>
      </c>
      <c r="G65" s="39">
        <v>98.7</v>
      </c>
      <c r="H65" s="36">
        <v>1569300</v>
      </c>
      <c r="I65" s="36">
        <v>1587400</v>
      </c>
      <c r="J65" s="36">
        <v>3156700</v>
      </c>
    </row>
    <row r="66" spans="1:10" ht="12" customHeight="1">
      <c r="A66" s="61">
        <v>1982</v>
      </c>
      <c r="B66" s="36">
        <v>1601900</v>
      </c>
      <c r="C66" s="36">
        <v>1624900</v>
      </c>
      <c r="D66" s="36">
        <v>3226800</v>
      </c>
      <c r="E66" s="37">
        <v>32300</v>
      </c>
      <c r="F66" s="38">
        <v>1.01</v>
      </c>
      <c r="G66" s="39">
        <v>98.6</v>
      </c>
      <c r="H66" s="36">
        <v>1579300</v>
      </c>
      <c r="I66" s="36">
        <v>1601500</v>
      </c>
      <c r="J66" s="36">
        <v>3180800</v>
      </c>
    </row>
    <row r="67" spans="1:10" ht="12" customHeight="1">
      <c r="A67" s="61">
        <v>1983</v>
      </c>
      <c r="B67" s="36">
        <v>1620700</v>
      </c>
      <c r="C67" s="36">
        <v>1644100</v>
      </c>
      <c r="D67" s="36">
        <v>3264800</v>
      </c>
      <c r="E67" s="37">
        <v>38000</v>
      </c>
      <c r="F67" s="38">
        <v>1.18</v>
      </c>
      <c r="G67" s="39">
        <v>98.6</v>
      </c>
      <c r="H67" s="36">
        <v>1599400</v>
      </c>
      <c r="I67" s="36">
        <v>1622300</v>
      </c>
      <c r="J67" s="36">
        <v>3221700</v>
      </c>
    </row>
    <row r="68" spans="1:10" ht="12" customHeight="1">
      <c r="A68" s="61">
        <v>1984</v>
      </c>
      <c r="B68" s="36">
        <v>1632200</v>
      </c>
      <c r="C68" s="36">
        <v>1660800</v>
      </c>
      <c r="D68" s="36">
        <v>3293000</v>
      </c>
      <c r="E68" s="37">
        <v>28200</v>
      </c>
      <c r="F68" s="38">
        <v>0.86</v>
      </c>
      <c r="G68" s="39">
        <v>98.3</v>
      </c>
      <c r="H68" s="36">
        <v>1613100</v>
      </c>
      <c r="I68" s="36">
        <v>1639700</v>
      </c>
      <c r="J68" s="36">
        <v>3252800</v>
      </c>
    </row>
    <row r="69" spans="1:10" ht="12" customHeight="1">
      <c r="A69" s="61">
        <v>1985</v>
      </c>
      <c r="B69" s="36">
        <v>1636800</v>
      </c>
      <c r="C69" s="36">
        <v>1666300</v>
      </c>
      <c r="D69" s="36">
        <v>3303100</v>
      </c>
      <c r="E69" s="37">
        <v>10100</v>
      </c>
      <c r="F69" s="38">
        <v>0.31</v>
      </c>
      <c r="G69" s="39">
        <v>98.2</v>
      </c>
      <c r="H69" s="36">
        <v>1620600</v>
      </c>
      <c r="I69" s="36">
        <v>1650900</v>
      </c>
      <c r="J69" s="36">
        <v>3271500</v>
      </c>
    </row>
    <row r="70" spans="1:10" ht="12" customHeight="1">
      <c r="A70" s="61">
        <v>1986</v>
      </c>
      <c r="B70" s="36">
        <v>1639200</v>
      </c>
      <c r="C70" s="36">
        <v>1674300</v>
      </c>
      <c r="D70" s="36">
        <v>3313500</v>
      </c>
      <c r="E70" s="37">
        <v>10400</v>
      </c>
      <c r="F70" s="38">
        <v>0.31</v>
      </c>
      <c r="G70" s="39">
        <v>97.9</v>
      </c>
      <c r="H70" s="36">
        <v>1622700</v>
      </c>
      <c r="I70" s="36">
        <v>1654300</v>
      </c>
      <c r="J70" s="36">
        <v>3277000</v>
      </c>
    </row>
    <row r="71" spans="1:10" ht="12" customHeight="1">
      <c r="A71" s="61">
        <v>1987</v>
      </c>
      <c r="B71" s="36">
        <v>1652900</v>
      </c>
      <c r="C71" s="36">
        <v>1689200</v>
      </c>
      <c r="D71" s="36">
        <v>3342100</v>
      </c>
      <c r="E71" s="37">
        <v>28600</v>
      </c>
      <c r="F71" s="38">
        <v>0.86</v>
      </c>
      <c r="G71" s="39">
        <v>97.9</v>
      </c>
      <c r="H71" s="36">
        <v>1633900</v>
      </c>
      <c r="I71" s="36">
        <v>1669700</v>
      </c>
      <c r="J71" s="36">
        <v>3303600</v>
      </c>
    </row>
    <row r="72" spans="1:10" ht="12" customHeight="1">
      <c r="A72" s="61">
        <v>1988</v>
      </c>
      <c r="B72" s="36">
        <v>1649700</v>
      </c>
      <c r="C72" s="36">
        <v>1695500</v>
      </c>
      <c r="D72" s="36">
        <v>3345200</v>
      </c>
      <c r="E72" s="37">
        <v>3100</v>
      </c>
      <c r="F72" s="38">
        <v>0.09</v>
      </c>
      <c r="G72" s="39">
        <v>97.3</v>
      </c>
      <c r="H72" s="36">
        <v>1638400</v>
      </c>
      <c r="I72" s="36">
        <v>1678600</v>
      </c>
      <c r="J72" s="36">
        <v>3317000</v>
      </c>
    </row>
    <row r="73" spans="1:10" ht="12" customHeight="1">
      <c r="A73" s="61">
        <v>1989</v>
      </c>
      <c r="B73" s="36">
        <v>1659700</v>
      </c>
      <c r="C73" s="36">
        <v>1710100</v>
      </c>
      <c r="D73" s="36">
        <v>3369800</v>
      </c>
      <c r="E73" s="37">
        <v>24600</v>
      </c>
      <c r="F73" s="38">
        <v>0.74</v>
      </c>
      <c r="G73" s="39">
        <v>97.1</v>
      </c>
      <c r="H73" s="36">
        <v>1641200</v>
      </c>
      <c r="I73" s="36">
        <v>1689000</v>
      </c>
      <c r="J73" s="36">
        <v>3330200</v>
      </c>
    </row>
    <row r="74" spans="1:10" ht="12" customHeight="1">
      <c r="A74" s="61">
        <v>1990</v>
      </c>
      <c r="B74" s="36">
        <v>1681900</v>
      </c>
      <c r="C74" s="36">
        <v>1728500</v>
      </c>
      <c r="D74" s="36">
        <v>3410400</v>
      </c>
      <c r="E74" s="37">
        <v>40600</v>
      </c>
      <c r="F74" s="38">
        <v>1.2</v>
      </c>
      <c r="G74" s="39">
        <v>97.3</v>
      </c>
      <c r="H74" s="36">
        <v>1656100</v>
      </c>
      <c r="I74" s="36">
        <v>1706400</v>
      </c>
      <c r="J74" s="36">
        <v>3362500</v>
      </c>
    </row>
    <row r="75" spans="1:10" ht="12" customHeight="1">
      <c r="A75" s="78" t="s">
        <v>217</v>
      </c>
      <c r="B75" s="79"/>
      <c r="C75" s="79"/>
      <c r="D75" s="79"/>
      <c r="E75" s="79"/>
      <c r="F75" s="79"/>
      <c r="G75" s="79"/>
      <c r="H75" s="79"/>
      <c r="I75" s="79"/>
      <c r="J75" s="79"/>
    </row>
    <row r="76" spans="1:10" ht="12" customHeight="1">
      <c r="A76" s="3" t="s">
        <v>36</v>
      </c>
      <c r="B76" s="36">
        <v>1730000</v>
      </c>
      <c r="C76" s="36">
        <v>1786000</v>
      </c>
      <c r="D76" s="36">
        <v>3516000</v>
      </c>
      <c r="E76" s="37">
        <v>40900</v>
      </c>
      <c r="F76" s="38">
        <v>1.18</v>
      </c>
      <c r="G76" s="39">
        <v>96.9</v>
      </c>
      <c r="H76" s="36">
        <v>1719500</v>
      </c>
      <c r="I76" s="36">
        <v>1776300</v>
      </c>
      <c r="J76" s="36">
        <v>3495800</v>
      </c>
    </row>
    <row r="77" spans="1:10" ht="12" customHeight="1">
      <c r="A77" s="3" t="s">
        <v>37</v>
      </c>
      <c r="B77" s="36">
        <v>1749100</v>
      </c>
      <c r="C77" s="36">
        <v>1803100</v>
      </c>
      <c r="D77" s="36">
        <v>3552200</v>
      </c>
      <c r="E77" s="37">
        <v>36300</v>
      </c>
      <c r="F77" s="38">
        <v>1.03</v>
      </c>
      <c r="G77" s="39">
        <v>97</v>
      </c>
      <c r="H77" s="36">
        <v>1739400</v>
      </c>
      <c r="I77" s="36">
        <v>1793600</v>
      </c>
      <c r="J77" s="36">
        <v>3533000</v>
      </c>
    </row>
    <row r="78" spans="1:10" ht="12" customHeight="1">
      <c r="A78" s="3" t="s">
        <v>38</v>
      </c>
      <c r="B78" s="36">
        <v>1772500</v>
      </c>
      <c r="C78" s="36">
        <v>1825400</v>
      </c>
      <c r="D78" s="36">
        <v>3597800</v>
      </c>
      <c r="E78" s="37">
        <v>45600</v>
      </c>
      <c r="F78" s="38">
        <v>1.28</v>
      </c>
      <c r="G78" s="39">
        <v>97.1</v>
      </c>
      <c r="H78" s="36">
        <v>1760100</v>
      </c>
      <c r="I78" s="36">
        <v>1813500</v>
      </c>
      <c r="J78" s="36">
        <v>3573600</v>
      </c>
    </row>
    <row r="79" spans="1:10" ht="12" customHeight="1">
      <c r="A79" s="3" t="s">
        <v>39</v>
      </c>
      <c r="B79" s="36">
        <v>1797800</v>
      </c>
      <c r="C79" s="36">
        <v>1850400</v>
      </c>
      <c r="D79" s="36">
        <v>3648300</v>
      </c>
      <c r="E79" s="37">
        <v>50400</v>
      </c>
      <c r="F79" s="38">
        <v>1.4</v>
      </c>
      <c r="G79" s="39">
        <v>97.2</v>
      </c>
      <c r="H79" s="36">
        <v>1784600</v>
      </c>
      <c r="I79" s="36">
        <v>1837000</v>
      </c>
      <c r="J79" s="36">
        <v>3621600</v>
      </c>
    </row>
    <row r="80" spans="1:10" ht="12" customHeight="1">
      <c r="A80" s="3" t="s">
        <v>40</v>
      </c>
      <c r="B80" s="36">
        <v>1828000</v>
      </c>
      <c r="C80" s="36">
        <v>1878700</v>
      </c>
      <c r="D80" s="36">
        <v>3706700</v>
      </c>
      <c r="E80" s="37">
        <v>58400</v>
      </c>
      <c r="F80" s="38">
        <v>1.6</v>
      </c>
      <c r="G80" s="39">
        <v>97.3</v>
      </c>
      <c r="H80" s="36">
        <v>1812100</v>
      </c>
      <c r="I80" s="36">
        <v>1863700</v>
      </c>
      <c r="J80" s="36">
        <v>3675800</v>
      </c>
    </row>
    <row r="81" spans="1:10" ht="12" customHeight="1">
      <c r="A81" s="3" t="s">
        <v>41</v>
      </c>
      <c r="B81" s="36">
        <v>1855400</v>
      </c>
      <c r="C81" s="36">
        <v>1906900</v>
      </c>
      <c r="D81" s="36">
        <v>3762300</v>
      </c>
      <c r="E81" s="37">
        <v>55600</v>
      </c>
      <c r="F81" s="38">
        <v>1.5</v>
      </c>
      <c r="G81" s="39">
        <v>97.3</v>
      </c>
      <c r="H81" s="36">
        <v>1841800</v>
      </c>
      <c r="I81" s="36">
        <v>1892100</v>
      </c>
      <c r="J81" s="36">
        <v>3733900</v>
      </c>
    </row>
    <row r="82" spans="1:10" ht="12" customHeight="1">
      <c r="A82" s="3" t="s">
        <v>42</v>
      </c>
      <c r="B82" s="36">
        <v>1872900</v>
      </c>
      <c r="C82" s="36">
        <v>1929700</v>
      </c>
      <c r="D82" s="36">
        <v>3802700</v>
      </c>
      <c r="E82" s="37">
        <v>40400</v>
      </c>
      <c r="F82" s="38">
        <v>1.07</v>
      </c>
      <c r="G82" s="39">
        <v>97.1</v>
      </c>
      <c r="H82" s="36">
        <v>1864300</v>
      </c>
      <c r="I82" s="36">
        <v>1918300</v>
      </c>
      <c r="J82" s="36">
        <v>3782600</v>
      </c>
    </row>
    <row r="83" spans="1:10" ht="12" customHeight="1">
      <c r="A83" s="3" t="s">
        <v>43</v>
      </c>
      <c r="B83" s="36">
        <v>1883300</v>
      </c>
      <c r="C83" s="36">
        <v>1945900</v>
      </c>
      <c r="D83" s="36">
        <v>3829200</v>
      </c>
      <c r="E83" s="37">
        <v>26500</v>
      </c>
      <c r="F83" s="38">
        <v>0.7</v>
      </c>
      <c r="G83" s="39">
        <v>96.8</v>
      </c>
      <c r="H83" s="36">
        <v>1878100</v>
      </c>
      <c r="I83" s="36">
        <v>1937700</v>
      </c>
      <c r="J83" s="36">
        <v>3815800</v>
      </c>
    </row>
    <row r="84" spans="1:10" ht="12" customHeight="1">
      <c r="A84" s="3" t="s">
        <v>44</v>
      </c>
      <c r="B84" s="36">
        <v>1891700</v>
      </c>
      <c r="C84" s="36">
        <v>1959500</v>
      </c>
      <c r="D84" s="36">
        <v>3851100</v>
      </c>
      <c r="E84" s="37">
        <v>22000</v>
      </c>
      <c r="F84" s="38">
        <v>0.56999999999999995</v>
      </c>
      <c r="G84" s="39">
        <v>96.5</v>
      </c>
      <c r="H84" s="36">
        <v>1886000</v>
      </c>
      <c r="I84" s="36">
        <v>1951300</v>
      </c>
      <c r="J84" s="36">
        <v>3837300</v>
      </c>
    </row>
    <row r="85" spans="1:10" ht="12" customHeight="1">
      <c r="A85" s="3" t="s">
        <v>45</v>
      </c>
      <c r="B85" s="36">
        <v>1900400</v>
      </c>
      <c r="C85" s="36">
        <v>1972600</v>
      </c>
      <c r="D85" s="36">
        <v>3873100</v>
      </c>
      <c r="E85" s="37">
        <v>21900</v>
      </c>
      <c r="F85" s="38">
        <v>0.56999999999999995</v>
      </c>
      <c r="G85" s="39">
        <v>96.3</v>
      </c>
      <c r="H85" s="36">
        <v>1895000</v>
      </c>
      <c r="I85" s="36">
        <v>1965100</v>
      </c>
      <c r="J85" s="36">
        <v>3860200</v>
      </c>
    </row>
    <row r="86" spans="1:10" ht="12" customHeight="1">
      <c r="A86" s="3" t="s">
        <v>46</v>
      </c>
      <c r="B86" s="36">
        <v>1920500</v>
      </c>
      <c r="C86" s="36">
        <v>1995700</v>
      </c>
      <c r="D86" s="36">
        <v>3916200</v>
      </c>
      <c r="E86" s="37">
        <v>43100</v>
      </c>
      <c r="F86" s="38">
        <v>1.1100000000000001</v>
      </c>
      <c r="G86" s="39">
        <v>96.2</v>
      </c>
      <c r="H86" s="36">
        <v>1906400</v>
      </c>
      <c r="I86" s="36">
        <v>1980300</v>
      </c>
      <c r="J86" s="36">
        <v>3886700</v>
      </c>
    </row>
    <row r="87" spans="1:10" ht="12" customHeight="1">
      <c r="A87" s="3" t="s">
        <v>47</v>
      </c>
      <c r="B87" s="36">
        <v>1956700</v>
      </c>
      <c r="C87" s="36">
        <v>2032900</v>
      </c>
      <c r="D87" s="36">
        <v>3989500</v>
      </c>
      <c r="E87" s="37">
        <v>73400</v>
      </c>
      <c r="F87" s="38">
        <v>1.87</v>
      </c>
      <c r="G87" s="39">
        <v>96.2</v>
      </c>
      <c r="H87" s="36">
        <v>1937800</v>
      </c>
      <c r="I87" s="36">
        <v>2013400</v>
      </c>
      <c r="J87" s="36">
        <v>3951200</v>
      </c>
    </row>
    <row r="88" spans="1:10" ht="12" customHeight="1">
      <c r="A88" s="3" t="s">
        <v>48</v>
      </c>
      <c r="B88" s="36">
        <v>1991800</v>
      </c>
      <c r="C88" s="36">
        <v>2069800</v>
      </c>
      <c r="D88" s="36">
        <v>4061600</v>
      </c>
      <c r="E88" s="37">
        <v>72000</v>
      </c>
      <c r="F88" s="38">
        <v>1.81</v>
      </c>
      <c r="G88" s="39">
        <v>96.2</v>
      </c>
      <c r="H88" s="36">
        <v>1975600</v>
      </c>
      <c r="I88" s="36">
        <v>2052000</v>
      </c>
      <c r="J88" s="36">
        <v>4027700</v>
      </c>
    </row>
    <row r="89" spans="1:10" ht="12" customHeight="1">
      <c r="A89" s="3" t="s">
        <v>49</v>
      </c>
      <c r="B89" s="36">
        <v>2016200</v>
      </c>
      <c r="C89" s="36">
        <v>2098100</v>
      </c>
      <c r="D89" s="36">
        <v>4114300</v>
      </c>
      <c r="E89" s="37">
        <v>52800</v>
      </c>
      <c r="F89" s="38">
        <v>1.3</v>
      </c>
      <c r="G89" s="39">
        <v>96.1</v>
      </c>
      <c r="H89" s="36">
        <v>2004400</v>
      </c>
      <c r="I89" s="36">
        <v>2084300</v>
      </c>
      <c r="J89" s="36">
        <v>4088700</v>
      </c>
    </row>
    <row r="90" spans="1:10" ht="12" customHeight="1">
      <c r="A90" s="3" t="s">
        <v>50</v>
      </c>
      <c r="B90" s="36">
        <v>2037700</v>
      </c>
      <c r="C90" s="36">
        <v>2123300</v>
      </c>
      <c r="D90" s="36">
        <v>4161000</v>
      </c>
      <c r="E90" s="37">
        <v>46600</v>
      </c>
      <c r="F90" s="38">
        <v>1.1299999999999999</v>
      </c>
      <c r="G90" s="39">
        <v>96</v>
      </c>
      <c r="H90" s="36">
        <v>2026200</v>
      </c>
      <c r="I90" s="36">
        <v>2109800</v>
      </c>
      <c r="J90" s="36">
        <v>4136000</v>
      </c>
    </row>
    <row r="91" spans="1:10" ht="12" customHeight="1">
      <c r="A91" s="3" t="s">
        <v>51</v>
      </c>
      <c r="B91" s="36">
        <v>2059600</v>
      </c>
      <c r="C91" s="36">
        <v>2149500</v>
      </c>
      <c r="D91" s="36">
        <v>4209100</v>
      </c>
      <c r="E91" s="37">
        <v>48200</v>
      </c>
      <c r="F91" s="38">
        <v>1.1599999999999999</v>
      </c>
      <c r="G91" s="39">
        <v>95.8</v>
      </c>
      <c r="H91" s="36">
        <v>2048700</v>
      </c>
      <c r="I91" s="36">
        <v>2136500</v>
      </c>
      <c r="J91" s="36">
        <v>4185300</v>
      </c>
    </row>
    <row r="92" spans="1:10" ht="12" customHeight="1">
      <c r="A92" s="3" t="s">
        <v>52</v>
      </c>
      <c r="B92" s="36">
        <v>2076800</v>
      </c>
      <c r="C92" s="36">
        <v>2169000</v>
      </c>
      <c r="D92" s="36">
        <v>4245700</v>
      </c>
      <c r="E92" s="37">
        <v>36600</v>
      </c>
      <c r="F92" s="38">
        <v>0.87</v>
      </c>
      <c r="G92" s="39">
        <v>95.8</v>
      </c>
      <c r="H92" s="36">
        <v>2067600</v>
      </c>
      <c r="I92" s="36">
        <v>2158600</v>
      </c>
      <c r="J92" s="36">
        <v>4226200</v>
      </c>
    </row>
    <row r="93" spans="1:10" ht="12" customHeight="1">
      <c r="A93" s="3" t="s">
        <v>53</v>
      </c>
      <c r="B93" s="36">
        <v>2093300</v>
      </c>
      <c r="C93" s="36">
        <v>2187000</v>
      </c>
      <c r="D93" s="36">
        <v>4280300</v>
      </c>
      <c r="E93" s="37">
        <v>34500</v>
      </c>
      <c r="F93" s="38">
        <v>0.81</v>
      </c>
      <c r="G93" s="39">
        <v>95.7</v>
      </c>
      <c r="H93" s="36">
        <v>2084500</v>
      </c>
      <c r="I93" s="36">
        <v>2177500</v>
      </c>
      <c r="J93" s="36">
        <v>4262000</v>
      </c>
    </row>
    <row r="94" spans="1:10" ht="12" customHeight="1">
      <c r="A94" s="3" t="s">
        <v>54</v>
      </c>
      <c r="B94" s="36">
        <v>2119200</v>
      </c>
      <c r="C94" s="36">
        <v>2213000</v>
      </c>
      <c r="D94" s="36">
        <v>4332100</v>
      </c>
      <c r="E94" s="37">
        <v>51900</v>
      </c>
      <c r="F94" s="38">
        <v>1.21</v>
      </c>
      <c r="G94" s="39">
        <v>95.8</v>
      </c>
      <c r="H94" s="36">
        <v>2105800</v>
      </c>
      <c r="I94" s="36">
        <v>2199100</v>
      </c>
      <c r="J94" s="36">
        <v>4304900</v>
      </c>
    </row>
    <row r="95" spans="1:10" ht="12" customHeight="1">
      <c r="A95" s="3" t="s">
        <v>55</v>
      </c>
      <c r="B95" s="36">
        <v>2139200</v>
      </c>
      <c r="C95" s="36">
        <v>2234700</v>
      </c>
      <c r="D95" s="36">
        <v>4373900</v>
      </c>
      <c r="E95" s="37">
        <v>41700</v>
      </c>
      <c r="F95" s="38">
        <v>0.96</v>
      </c>
      <c r="G95" s="39">
        <v>95.7</v>
      </c>
      <c r="H95" s="36">
        <v>2129000</v>
      </c>
      <c r="I95" s="36">
        <v>2224000</v>
      </c>
      <c r="J95" s="36">
        <v>4353000</v>
      </c>
    </row>
    <row r="96" spans="1:10" ht="12" customHeight="1">
      <c r="A96" s="3" t="s">
        <v>56</v>
      </c>
      <c r="B96" s="36">
        <v>2151100</v>
      </c>
      <c r="C96" s="36">
        <v>2248300</v>
      </c>
      <c r="D96" s="36">
        <v>4399400</v>
      </c>
      <c r="E96" s="37">
        <v>25600</v>
      </c>
      <c r="F96" s="38">
        <v>0.57999999999999996</v>
      </c>
      <c r="G96" s="39">
        <v>95.7</v>
      </c>
      <c r="H96" s="36">
        <v>2144800</v>
      </c>
      <c r="I96" s="36">
        <v>2241400</v>
      </c>
      <c r="J96" s="36">
        <v>4386300</v>
      </c>
    </row>
    <row r="97" spans="1:29" ht="12" customHeight="1">
      <c r="A97" s="3" t="s">
        <v>57</v>
      </c>
      <c r="B97" s="36">
        <v>2163800</v>
      </c>
      <c r="C97" s="36">
        <v>2262000</v>
      </c>
      <c r="D97" s="36">
        <v>4425900</v>
      </c>
      <c r="E97" s="37">
        <v>26400</v>
      </c>
      <c r="F97" s="38">
        <v>0.6</v>
      </c>
      <c r="G97" s="39">
        <v>95.7</v>
      </c>
      <c r="H97" s="36">
        <v>2156400</v>
      </c>
      <c r="I97" s="36">
        <v>2254300</v>
      </c>
      <c r="J97" s="36">
        <v>4410700</v>
      </c>
    </row>
    <row r="98" spans="1:29" ht="12" customHeight="1">
      <c r="A98" s="3" t="s">
        <v>72</v>
      </c>
      <c r="B98" s="36">
        <v>2192500</v>
      </c>
      <c r="C98" s="36">
        <v>2284900</v>
      </c>
      <c r="D98" s="36">
        <v>4477400</v>
      </c>
      <c r="E98" s="37">
        <v>51500</v>
      </c>
      <c r="F98" s="38">
        <v>1.1599999999999999</v>
      </c>
      <c r="G98" s="39">
        <v>96</v>
      </c>
      <c r="H98" s="36">
        <v>2175200</v>
      </c>
      <c r="I98" s="36">
        <v>2271700</v>
      </c>
      <c r="J98" s="36">
        <v>4446900</v>
      </c>
      <c r="R98" s="58"/>
      <c r="S98" s="58"/>
      <c r="T98" s="58"/>
      <c r="U98" s="58"/>
      <c r="V98" s="58"/>
      <c r="W98" s="58"/>
      <c r="AA98" s="58"/>
      <c r="AB98" s="58"/>
      <c r="AC98" s="58"/>
    </row>
    <row r="99" spans="1:29" ht="12" customHeight="1">
      <c r="A99" s="3" t="s">
        <v>100</v>
      </c>
      <c r="B99" s="36">
        <v>2243700</v>
      </c>
      <c r="C99" s="36">
        <v>2320700</v>
      </c>
      <c r="D99" s="36">
        <v>4564400</v>
      </c>
      <c r="E99" s="37">
        <v>87000</v>
      </c>
      <c r="F99" s="38">
        <v>1.94</v>
      </c>
      <c r="G99" s="39">
        <v>96.68</v>
      </c>
      <c r="H99" s="36">
        <v>2217500</v>
      </c>
      <c r="I99" s="36">
        <v>2302200</v>
      </c>
      <c r="J99" s="36">
        <v>4519700</v>
      </c>
      <c r="R99" s="58"/>
      <c r="S99" s="58"/>
      <c r="T99" s="58"/>
      <c r="U99" s="58"/>
      <c r="V99" s="58"/>
      <c r="W99" s="58"/>
      <c r="AA99" s="58"/>
      <c r="AB99" s="58"/>
      <c r="AC99" s="58"/>
    </row>
    <row r="100" spans="1:29" ht="12" customHeight="1">
      <c r="A100" s="3" t="s">
        <v>101</v>
      </c>
      <c r="B100" s="36">
        <v>2300500</v>
      </c>
      <c r="C100" s="36">
        <v>2363200</v>
      </c>
      <c r="D100" s="36">
        <v>4663700</v>
      </c>
      <c r="E100" s="37">
        <v>99400</v>
      </c>
      <c r="F100" s="38">
        <v>2.1800000000000002</v>
      </c>
      <c r="G100" s="39">
        <v>97.34</v>
      </c>
      <c r="H100" s="36">
        <v>2271800</v>
      </c>
      <c r="I100" s="36">
        <v>2341100</v>
      </c>
      <c r="J100" s="36">
        <v>4612900</v>
      </c>
      <c r="R100" s="58"/>
      <c r="S100" s="58"/>
      <c r="T100" s="58"/>
      <c r="U100" s="58"/>
      <c r="V100" s="58"/>
      <c r="W100" s="58"/>
      <c r="AA100" s="58"/>
      <c r="AB100" s="58"/>
      <c r="AC100" s="58"/>
    </row>
    <row r="101" spans="1:29" ht="12" customHeight="1">
      <c r="A101" s="3" t="s">
        <v>102</v>
      </c>
      <c r="B101" s="36">
        <v>2357300</v>
      </c>
      <c r="C101" s="36">
        <v>2410300</v>
      </c>
      <c r="D101" s="36">
        <v>4767600</v>
      </c>
      <c r="E101" s="37">
        <v>103900</v>
      </c>
      <c r="F101" s="38">
        <v>2.23</v>
      </c>
      <c r="G101" s="39">
        <v>97.8</v>
      </c>
      <c r="H101" s="36">
        <v>2329500</v>
      </c>
      <c r="I101" s="36">
        <v>2387000</v>
      </c>
      <c r="J101" s="36">
        <v>4716500</v>
      </c>
      <c r="R101" s="58"/>
      <c r="S101" s="58"/>
      <c r="T101" s="58"/>
      <c r="U101" s="58"/>
      <c r="V101" s="58"/>
      <c r="W101" s="58"/>
      <c r="AA101" s="58"/>
      <c r="AB101" s="58"/>
      <c r="AC101" s="58"/>
    </row>
    <row r="102" spans="1:29" ht="12" customHeight="1">
      <c r="A102" s="3" t="s">
        <v>103</v>
      </c>
      <c r="B102" s="36">
        <v>2407400</v>
      </c>
      <c r="C102" s="36">
        <v>2452100</v>
      </c>
      <c r="D102" s="36">
        <v>4859500</v>
      </c>
      <c r="E102" s="37">
        <v>91900</v>
      </c>
      <c r="F102" s="38">
        <v>1.93</v>
      </c>
      <c r="G102" s="39">
        <v>98.18</v>
      </c>
      <c r="H102" s="36">
        <v>2383200</v>
      </c>
      <c r="I102" s="36">
        <v>2431800</v>
      </c>
      <c r="J102" s="36">
        <v>4815000</v>
      </c>
      <c r="R102" s="58"/>
      <c r="S102" s="58"/>
      <c r="T102" s="58"/>
      <c r="U102" s="58"/>
      <c r="V102" s="58"/>
      <c r="W102" s="58"/>
      <c r="AA102" s="58"/>
      <c r="AB102" s="58"/>
      <c r="AC102" s="58"/>
    </row>
    <row r="103" spans="1:29" ht="12" customHeight="1">
      <c r="A103" s="3" t="s">
        <v>218</v>
      </c>
      <c r="B103" s="36">
        <v>2448800</v>
      </c>
      <c r="C103" s="36">
        <v>2487900</v>
      </c>
      <c r="D103" s="36">
        <v>4936700</v>
      </c>
      <c r="E103" s="37">
        <v>77200</v>
      </c>
      <c r="F103" s="38">
        <v>1.59</v>
      </c>
      <c r="G103" s="39">
        <v>98.4</v>
      </c>
      <c r="H103" s="36">
        <v>2430100</v>
      </c>
      <c r="I103" s="36">
        <v>2470900</v>
      </c>
      <c r="J103" s="36">
        <v>4901000</v>
      </c>
      <c r="R103" s="58"/>
      <c r="S103" s="58"/>
      <c r="T103" s="58"/>
      <c r="U103" s="58"/>
      <c r="V103" s="58"/>
      <c r="W103" s="58"/>
      <c r="AA103" s="58"/>
      <c r="AB103" s="58"/>
      <c r="AC103" s="58"/>
    </row>
    <row r="104" spans="1:29" ht="12" customHeight="1">
      <c r="A104" s="3" t="s">
        <v>170</v>
      </c>
      <c r="B104" s="36">
        <v>2496300</v>
      </c>
      <c r="C104" s="36">
        <v>2530800</v>
      </c>
      <c r="D104" s="36">
        <v>5027100</v>
      </c>
      <c r="E104" s="37">
        <v>90400</v>
      </c>
      <c r="F104" s="38">
        <v>1.83</v>
      </c>
      <c r="G104" s="39">
        <v>98.6</v>
      </c>
      <c r="H104" s="36">
        <v>2470100</v>
      </c>
      <c r="I104" s="36">
        <v>2506600</v>
      </c>
      <c r="J104" s="36">
        <v>4976700</v>
      </c>
      <c r="R104" s="58"/>
      <c r="S104" s="58"/>
      <c r="T104" s="58"/>
      <c r="U104" s="58"/>
      <c r="V104" s="58"/>
      <c r="W104" s="58"/>
      <c r="AA104" s="58"/>
      <c r="AB104" s="58"/>
      <c r="AC104" s="58"/>
    </row>
    <row r="105" spans="1:29" ht="12" customHeight="1">
      <c r="A105" s="3" t="s">
        <v>171</v>
      </c>
      <c r="B105" s="36">
        <v>2523100</v>
      </c>
      <c r="C105" s="36">
        <v>2558300</v>
      </c>
      <c r="D105" s="36">
        <v>5081400</v>
      </c>
      <c r="E105" s="37">
        <v>54300</v>
      </c>
      <c r="F105" s="38">
        <v>1.08</v>
      </c>
      <c r="G105" s="39">
        <v>98.6</v>
      </c>
      <c r="H105" s="36">
        <v>2516800</v>
      </c>
      <c r="I105" s="36">
        <v>2551400</v>
      </c>
      <c r="J105" s="36">
        <v>5068200</v>
      </c>
      <c r="R105" s="58"/>
      <c r="S105" s="58"/>
      <c r="T105" s="58"/>
      <c r="U105" s="58"/>
      <c r="V105" s="58"/>
      <c r="W105" s="58"/>
      <c r="AA105" s="58"/>
      <c r="AB105" s="58"/>
      <c r="AC105" s="58"/>
    </row>
    <row r="106" spans="1:29" ht="12" customHeight="1">
      <c r="A106" s="3" t="s">
        <v>172</v>
      </c>
      <c r="B106" s="36">
        <v>2524900</v>
      </c>
      <c r="C106" s="36">
        <v>2560400</v>
      </c>
      <c r="D106" s="36">
        <v>5085400</v>
      </c>
      <c r="E106" s="37">
        <v>4000</v>
      </c>
      <c r="F106" s="38">
        <v>0.08</v>
      </c>
      <c r="G106" s="39">
        <v>98.6</v>
      </c>
      <c r="H106" s="36">
        <v>2524700</v>
      </c>
      <c r="I106" s="36">
        <v>2559600</v>
      </c>
      <c r="J106" s="36">
        <v>5084300</v>
      </c>
      <c r="R106" s="58"/>
      <c r="S106" s="58"/>
      <c r="T106" s="58"/>
      <c r="U106" s="58"/>
      <c r="V106" s="58"/>
      <c r="W106" s="58"/>
      <c r="AA106" s="58"/>
      <c r="AB106" s="58"/>
      <c r="AC106" s="58"/>
    </row>
    <row r="107" spans="1:29" ht="12" customHeight="1">
      <c r="A107" s="3" t="s">
        <v>173</v>
      </c>
      <c r="B107" s="36">
        <v>2543500</v>
      </c>
      <c r="C107" s="36">
        <v>2577200</v>
      </c>
      <c r="D107" s="36">
        <v>5120700</v>
      </c>
      <c r="E107" s="37">
        <v>35400</v>
      </c>
      <c r="F107" s="38">
        <v>0.7</v>
      </c>
      <c r="G107" s="39">
        <v>98.7</v>
      </c>
      <c r="H107" s="36">
        <v>2527300</v>
      </c>
      <c r="I107" s="36">
        <v>2562700</v>
      </c>
      <c r="J107" s="36">
        <v>5090100</v>
      </c>
      <c r="R107" s="58"/>
      <c r="S107" s="58"/>
      <c r="T107" s="58"/>
      <c r="U107" s="58"/>
      <c r="V107" s="58"/>
      <c r="W107" s="58"/>
      <c r="AA107" s="58"/>
      <c r="AB107" s="58"/>
      <c r="AC107" s="58"/>
    </row>
    <row r="108" spans="1:29" ht="12" customHeight="1">
      <c r="A108" s="3" t="s">
        <v>219</v>
      </c>
      <c r="B108" s="36">
        <v>2622000</v>
      </c>
      <c r="C108" s="36">
        <v>2641400</v>
      </c>
      <c r="D108" s="36">
        <v>5263400</v>
      </c>
      <c r="E108" s="37">
        <v>142700</v>
      </c>
      <c r="F108" s="38">
        <v>2.79</v>
      </c>
      <c r="G108" s="39">
        <v>99.3</v>
      </c>
      <c r="H108" s="36">
        <v>2588100</v>
      </c>
      <c r="I108" s="36">
        <v>2611000</v>
      </c>
      <c r="J108" s="36">
        <v>5199200</v>
      </c>
      <c r="R108" s="58"/>
      <c r="S108" s="58"/>
      <c r="T108" s="58"/>
      <c r="U108" s="58"/>
      <c r="V108" s="58"/>
      <c r="W108" s="58"/>
      <c r="AA108" s="58"/>
      <c r="AB108" s="58"/>
      <c r="AC108" s="58"/>
    </row>
    <row r="109" spans="1:29" ht="12" customHeight="1">
      <c r="A109" s="65" t="s">
        <v>175</v>
      </c>
      <c r="B109" s="59">
        <v>2642400</v>
      </c>
      <c r="C109" s="59">
        <v>2668700</v>
      </c>
      <c r="D109" s="59">
        <v>5311100</v>
      </c>
      <c r="E109" s="55">
        <v>47800</v>
      </c>
      <c r="F109" s="56">
        <v>0.91</v>
      </c>
      <c r="G109" s="60">
        <v>99</v>
      </c>
      <c r="H109" s="59">
        <v>2633500</v>
      </c>
      <c r="I109" s="59">
        <v>2655600</v>
      </c>
      <c r="J109" s="59">
        <v>5289100</v>
      </c>
      <c r="R109" s="58"/>
      <c r="S109" s="58"/>
      <c r="T109" s="58"/>
      <c r="U109" s="58"/>
      <c r="V109" s="58"/>
      <c r="W109" s="58"/>
      <c r="AA109" s="58"/>
      <c r="AB109" s="58"/>
      <c r="AC109" s="58"/>
    </row>
    <row r="110" spans="1:29" ht="6" customHeight="1">
      <c r="A110" s="3"/>
    </row>
    <row r="111" spans="1:29" ht="12" customHeight="1">
      <c r="A111" s="82" t="s">
        <v>58</v>
      </c>
      <c r="B111" s="82"/>
      <c r="C111" s="82"/>
      <c r="D111" s="82"/>
      <c r="E111" s="82"/>
      <c r="F111" s="82"/>
      <c r="G111" s="82"/>
      <c r="H111" s="82"/>
      <c r="I111" s="82"/>
      <c r="J111" s="82"/>
    </row>
    <row r="112" spans="1:29" ht="46.5" customHeight="1">
      <c r="A112" s="83" t="s">
        <v>229</v>
      </c>
      <c r="B112" s="83"/>
      <c r="C112" s="83"/>
      <c r="D112" s="83"/>
      <c r="E112" s="83"/>
      <c r="F112" s="83"/>
      <c r="G112" s="83"/>
      <c r="H112" s="83"/>
      <c r="I112" s="83"/>
      <c r="J112" s="83"/>
    </row>
    <row r="113" spans="1:10" ht="36" customHeight="1">
      <c r="A113" s="83" t="s">
        <v>59</v>
      </c>
      <c r="B113" s="83"/>
      <c r="C113" s="83"/>
      <c r="D113" s="83"/>
      <c r="E113" s="83"/>
      <c r="F113" s="83"/>
      <c r="G113" s="83"/>
      <c r="H113" s="83"/>
      <c r="I113" s="83"/>
      <c r="J113" s="83"/>
    </row>
    <row r="114" spans="1:10" ht="6" customHeight="1">
      <c r="A114" s="3"/>
    </row>
    <row r="115" spans="1:10" ht="12" customHeight="1">
      <c r="A115" s="7" t="s">
        <v>60</v>
      </c>
    </row>
    <row r="116" spans="1:10" ht="24" customHeight="1">
      <c r="A116" s="83" t="s">
        <v>230</v>
      </c>
      <c r="B116" s="83"/>
      <c r="C116" s="83"/>
      <c r="D116" s="83"/>
      <c r="E116" s="83"/>
      <c r="F116" s="83"/>
      <c r="G116" s="83"/>
      <c r="H116" s="83"/>
      <c r="I116" s="83"/>
      <c r="J116" s="83"/>
    </row>
    <row r="117" spans="1:10" ht="12" customHeight="1">
      <c r="A117" s="82" t="s">
        <v>61</v>
      </c>
      <c r="B117" s="82"/>
      <c r="C117" s="82"/>
      <c r="D117" s="82"/>
      <c r="E117" s="82"/>
      <c r="F117" s="82"/>
      <c r="G117" s="82"/>
      <c r="H117" s="82"/>
      <c r="I117" s="82"/>
      <c r="J117" s="82"/>
    </row>
    <row r="118" spans="1:10" ht="12" customHeight="1">
      <c r="A118" s="82" t="s">
        <v>62</v>
      </c>
      <c r="B118" s="82"/>
      <c r="C118" s="82"/>
      <c r="D118" s="82"/>
      <c r="E118" s="82"/>
      <c r="F118" s="82"/>
      <c r="G118" s="82"/>
      <c r="H118" s="82"/>
      <c r="I118" s="82"/>
      <c r="J118" s="82"/>
    </row>
    <row r="119" spans="1:10" ht="12" customHeight="1">
      <c r="A119" s="82" t="s">
        <v>63</v>
      </c>
      <c r="B119" s="82"/>
      <c r="C119" s="82"/>
      <c r="D119" s="82"/>
      <c r="E119" s="82"/>
      <c r="F119" s="82"/>
      <c r="G119" s="82"/>
      <c r="H119" s="82"/>
      <c r="I119" s="82"/>
      <c r="J119" s="82"/>
    </row>
    <row r="120" spans="1:10" ht="6" customHeight="1">
      <c r="A120" s="3" t="s">
        <v>0</v>
      </c>
    </row>
    <row r="121" spans="1:10" ht="12" customHeight="1">
      <c r="A121" s="7" t="s">
        <v>64</v>
      </c>
    </row>
    <row r="122" spans="1:10" ht="12" customHeight="1">
      <c r="A122" s="3" t="s">
        <v>65</v>
      </c>
    </row>
    <row r="123" spans="1:10" ht="6" customHeight="1">
      <c r="A123" s="3" t="s">
        <v>0</v>
      </c>
    </row>
    <row r="124" spans="1:10" ht="12" customHeight="1">
      <c r="A124" s="3" t="s">
        <v>161</v>
      </c>
    </row>
  </sheetData>
  <mergeCells count="14">
    <mergeCell ref="A118:J118"/>
    <mergeCell ref="A119:J119"/>
    <mergeCell ref="A111:J111"/>
    <mergeCell ref="A112:J112"/>
    <mergeCell ref="A113:J113"/>
    <mergeCell ref="A116:J116"/>
    <mergeCell ref="A117:J117"/>
    <mergeCell ref="A9:J9"/>
    <mergeCell ref="A75:J75"/>
    <mergeCell ref="A7:A8"/>
    <mergeCell ref="B7:D7"/>
    <mergeCell ref="E7:F7"/>
    <mergeCell ref="G7:G8"/>
    <mergeCell ref="H7:J7"/>
  </mergeCells>
  <phoneticPr fontId="22" type="noConversion"/>
  <pageMargins left="0.51181102362204722" right="0.51181102362204722" top="0.74803149606299213" bottom="0.74803149606299213" header="0.31496062992125984" footer="0.31496062992125984"/>
  <pageSetup paperSize="9" scale="92" orientation="portrait" r:id="rId1"/>
  <rowBreaks count="1" manualBreakCount="1">
    <brk id="58" max="9"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C113"/>
  <sheetViews>
    <sheetView zoomScaleNormal="100" workbookViewId="0">
      <pane ySplit="8" topLeftCell="A9" activePane="bottomLeft" state="frozen"/>
      <selection activeCell="H14" sqref="H14"/>
      <selection pane="bottomLeft"/>
    </sheetView>
  </sheetViews>
  <sheetFormatPr defaultRowHeight="14.25"/>
  <cols>
    <col min="1" max="1" width="10.59765625" customWidth="1"/>
    <col min="2" max="4" width="9.73046875" customWidth="1"/>
    <col min="5" max="7" width="8.73046875" customWidth="1"/>
    <col min="8" max="10" width="9.73046875" customWidth="1"/>
  </cols>
  <sheetData>
    <row r="1" spans="1:10">
      <c r="A1" s="1" t="s">
        <v>66</v>
      </c>
    </row>
    <row r="2" spans="1:10" ht="6" customHeight="1">
      <c r="A2" s="3" t="s">
        <v>0</v>
      </c>
    </row>
    <row r="3" spans="1:10">
      <c r="A3" s="4" t="s">
        <v>23</v>
      </c>
    </row>
    <row r="4" spans="1:10">
      <c r="A4" s="1" t="s">
        <v>177</v>
      </c>
    </row>
    <row r="5" spans="1:10">
      <c r="A5" s="1" t="s">
        <v>67</v>
      </c>
    </row>
    <row r="6" spans="1:10" ht="6" customHeight="1">
      <c r="A6" s="3"/>
    </row>
    <row r="7" spans="1:10" ht="28.5" customHeight="1">
      <c r="A7" s="80" t="s">
        <v>25</v>
      </c>
      <c r="B7" s="80" t="s">
        <v>68</v>
      </c>
      <c r="C7" s="80" t="s">
        <v>0</v>
      </c>
      <c r="D7" s="80" t="s">
        <v>0</v>
      </c>
      <c r="E7" s="80" t="s">
        <v>27</v>
      </c>
      <c r="F7" s="80" t="s">
        <v>0</v>
      </c>
      <c r="G7" s="80" t="s">
        <v>69</v>
      </c>
      <c r="H7" s="80" t="s">
        <v>70</v>
      </c>
      <c r="I7" s="81"/>
      <c r="J7" s="81"/>
    </row>
    <row r="8" spans="1:10" ht="28.5" customHeight="1">
      <c r="A8" s="80" t="s">
        <v>0</v>
      </c>
      <c r="B8" s="8" t="s">
        <v>29</v>
      </c>
      <c r="C8" s="8" t="s">
        <v>30</v>
      </c>
      <c r="D8" s="8" t="s">
        <v>31</v>
      </c>
      <c r="E8" s="8" t="s">
        <v>32</v>
      </c>
      <c r="F8" s="8" t="s">
        <v>33</v>
      </c>
      <c r="G8" s="80" t="s">
        <v>0</v>
      </c>
      <c r="H8" s="8" t="s">
        <v>29</v>
      </c>
      <c r="I8" s="8" t="s">
        <v>30</v>
      </c>
      <c r="J8" s="8" t="s">
        <v>31</v>
      </c>
    </row>
    <row r="9" spans="1:10">
      <c r="A9" s="78" t="s">
        <v>34</v>
      </c>
      <c r="B9" s="79"/>
      <c r="C9" s="79"/>
      <c r="D9" s="79"/>
      <c r="E9" s="79"/>
      <c r="F9" s="79"/>
      <c r="G9" s="79"/>
      <c r="H9" s="79"/>
      <c r="I9" s="79"/>
      <c r="J9" s="79"/>
    </row>
    <row r="10" spans="1:10" ht="12" customHeight="1">
      <c r="A10" s="61">
        <v>1937</v>
      </c>
      <c r="B10" s="36">
        <v>806000</v>
      </c>
      <c r="C10" s="36">
        <v>781400</v>
      </c>
      <c r="D10" s="36">
        <v>1587400</v>
      </c>
      <c r="E10" s="37">
        <v>14600</v>
      </c>
      <c r="F10" s="38">
        <v>0.93</v>
      </c>
      <c r="G10" s="39">
        <v>103.1</v>
      </c>
      <c r="H10" s="36">
        <v>803300</v>
      </c>
      <c r="I10" s="36">
        <v>779000</v>
      </c>
      <c r="J10" s="36">
        <v>1582300</v>
      </c>
    </row>
    <row r="11" spans="1:10" ht="12" customHeight="1">
      <c r="A11" s="61">
        <v>1938</v>
      </c>
      <c r="B11" s="36">
        <v>814700</v>
      </c>
      <c r="C11" s="36">
        <v>789800</v>
      </c>
      <c r="D11" s="36">
        <v>1604500</v>
      </c>
      <c r="E11" s="37">
        <v>17100</v>
      </c>
      <c r="F11" s="38">
        <v>1.08</v>
      </c>
      <c r="G11" s="39">
        <v>103.2</v>
      </c>
      <c r="H11" s="36">
        <v>811600</v>
      </c>
      <c r="I11" s="36">
        <v>787000</v>
      </c>
      <c r="J11" s="36">
        <v>1598600</v>
      </c>
    </row>
    <row r="12" spans="1:10" ht="12" customHeight="1">
      <c r="A12" s="61">
        <v>1939</v>
      </c>
      <c r="B12" s="36">
        <v>826100</v>
      </c>
      <c r="C12" s="36">
        <v>800400</v>
      </c>
      <c r="D12" s="36">
        <v>1626500</v>
      </c>
      <c r="E12" s="37">
        <v>22000</v>
      </c>
      <c r="F12" s="38">
        <v>1.37</v>
      </c>
      <c r="G12" s="39">
        <v>103.2</v>
      </c>
      <c r="H12" s="36">
        <v>820900</v>
      </c>
      <c r="I12" s="36">
        <v>795800</v>
      </c>
      <c r="J12" s="36">
        <v>1616700</v>
      </c>
    </row>
    <row r="13" spans="1:10" ht="12" customHeight="1">
      <c r="A13" s="61">
        <v>1940</v>
      </c>
      <c r="B13" s="36">
        <v>822000</v>
      </c>
      <c r="C13" s="36">
        <v>814100</v>
      </c>
      <c r="D13" s="36">
        <v>1636100</v>
      </c>
      <c r="E13" s="37">
        <v>9600</v>
      </c>
      <c r="F13" s="38">
        <v>0.59</v>
      </c>
      <c r="G13" s="39">
        <v>101</v>
      </c>
      <c r="H13" s="36">
        <v>828700</v>
      </c>
      <c r="I13" s="36">
        <v>808000</v>
      </c>
      <c r="J13" s="36">
        <v>1636700</v>
      </c>
    </row>
    <row r="14" spans="1:10" ht="12" customHeight="1">
      <c r="A14" s="61">
        <v>1941</v>
      </c>
      <c r="B14" s="36">
        <v>802700</v>
      </c>
      <c r="C14" s="36">
        <v>826300</v>
      </c>
      <c r="D14" s="36">
        <v>1629000</v>
      </c>
      <c r="E14" s="37">
        <v>-7100</v>
      </c>
      <c r="F14" s="38">
        <v>-0.43</v>
      </c>
      <c r="G14" s="39">
        <v>97.1</v>
      </c>
      <c r="H14" s="36">
        <v>813800</v>
      </c>
      <c r="I14" s="36">
        <v>820500</v>
      </c>
      <c r="J14" s="36">
        <v>1634300</v>
      </c>
    </row>
    <row r="15" spans="1:10" ht="12" customHeight="1">
      <c r="A15" s="61">
        <v>1942</v>
      </c>
      <c r="B15" s="36">
        <v>800500</v>
      </c>
      <c r="C15" s="36">
        <v>838200</v>
      </c>
      <c r="D15" s="36">
        <v>1638700</v>
      </c>
      <c r="E15" s="37">
        <v>9700</v>
      </c>
      <c r="F15" s="38">
        <v>0.6</v>
      </c>
      <c r="G15" s="39">
        <v>95.5</v>
      </c>
      <c r="H15" s="36">
        <v>799300</v>
      </c>
      <c r="I15" s="36">
        <v>832100</v>
      </c>
      <c r="J15" s="36">
        <v>1631400</v>
      </c>
    </row>
    <row r="16" spans="1:10" ht="12" customHeight="1">
      <c r="A16" s="61">
        <v>1943</v>
      </c>
      <c r="B16" s="36">
        <v>786200</v>
      </c>
      <c r="C16" s="36">
        <v>846500</v>
      </c>
      <c r="D16" s="36">
        <v>1632700</v>
      </c>
      <c r="E16" s="37">
        <v>-6000</v>
      </c>
      <c r="F16" s="38">
        <v>-0.37</v>
      </c>
      <c r="G16" s="39">
        <v>92.9</v>
      </c>
      <c r="H16" s="36">
        <v>796900</v>
      </c>
      <c r="I16" s="36">
        <v>842500</v>
      </c>
      <c r="J16" s="36">
        <v>1639400</v>
      </c>
    </row>
    <row r="17" spans="1:10" ht="12" customHeight="1">
      <c r="A17" s="61">
        <v>1944</v>
      </c>
      <c r="B17" s="36">
        <v>797000</v>
      </c>
      <c r="C17" s="36">
        <v>856800</v>
      </c>
      <c r="D17" s="36">
        <v>1653800</v>
      </c>
      <c r="E17" s="37">
        <v>21100</v>
      </c>
      <c r="F17" s="38">
        <v>1.29</v>
      </c>
      <c r="G17" s="39">
        <v>93</v>
      </c>
      <c r="H17" s="36">
        <v>790000</v>
      </c>
      <c r="I17" s="36">
        <v>851400</v>
      </c>
      <c r="J17" s="36">
        <v>1641400</v>
      </c>
    </row>
    <row r="18" spans="1:10" ht="12" customHeight="1">
      <c r="A18" s="61">
        <v>1945</v>
      </c>
      <c r="B18" s="36">
        <v>819500</v>
      </c>
      <c r="C18" s="36">
        <v>868600</v>
      </c>
      <c r="D18" s="36">
        <v>1688100</v>
      </c>
      <c r="E18" s="37">
        <v>34300</v>
      </c>
      <c r="F18" s="38">
        <v>2.0699999999999998</v>
      </c>
      <c r="G18" s="39">
        <v>94.3</v>
      </c>
      <c r="H18" s="36">
        <v>810800</v>
      </c>
      <c r="I18" s="36">
        <v>862500</v>
      </c>
      <c r="J18" s="36">
        <v>1673300</v>
      </c>
    </row>
    <row r="19" spans="1:10" ht="12" customHeight="1">
      <c r="A19" s="61">
        <v>1946</v>
      </c>
      <c r="B19" s="36">
        <v>879100</v>
      </c>
      <c r="C19" s="36">
        <v>880300</v>
      </c>
      <c r="D19" s="36">
        <v>1759400</v>
      </c>
      <c r="E19" s="37">
        <v>71300</v>
      </c>
      <c r="F19" s="38">
        <v>4.22</v>
      </c>
      <c r="G19" s="39">
        <v>99.9</v>
      </c>
      <c r="H19" s="36">
        <v>855600</v>
      </c>
      <c r="I19" s="36">
        <v>873600</v>
      </c>
      <c r="J19" s="36">
        <v>1729200</v>
      </c>
    </row>
    <row r="20" spans="1:10" ht="12" customHeight="1">
      <c r="A20" s="61">
        <v>1947</v>
      </c>
      <c r="B20" s="36">
        <v>899600</v>
      </c>
      <c r="C20" s="36">
        <v>897800</v>
      </c>
      <c r="D20" s="36">
        <v>1797400</v>
      </c>
      <c r="E20" s="37">
        <v>38000</v>
      </c>
      <c r="F20" s="38">
        <v>2.16</v>
      </c>
      <c r="G20" s="39">
        <v>100.2</v>
      </c>
      <c r="H20" s="36">
        <v>885800</v>
      </c>
      <c r="I20" s="36">
        <v>889400</v>
      </c>
      <c r="J20" s="36">
        <v>1779200</v>
      </c>
    </row>
    <row r="21" spans="1:10" ht="12" customHeight="1">
      <c r="A21" s="61">
        <v>1948</v>
      </c>
      <c r="B21" s="36">
        <v>918500</v>
      </c>
      <c r="C21" s="36">
        <v>914900</v>
      </c>
      <c r="D21" s="36">
        <v>1833400</v>
      </c>
      <c r="E21" s="37">
        <v>36000</v>
      </c>
      <c r="F21" s="38">
        <v>2</v>
      </c>
      <c r="G21" s="39">
        <v>100.4</v>
      </c>
      <c r="H21" s="36">
        <v>909900</v>
      </c>
      <c r="I21" s="36">
        <v>907000</v>
      </c>
      <c r="J21" s="36">
        <v>1816900</v>
      </c>
    </row>
    <row r="22" spans="1:10" ht="12" customHeight="1">
      <c r="A22" s="61">
        <v>1949</v>
      </c>
      <c r="B22" s="36">
        <v>939500</v>
      </c>
      <c r="C22" s="36">
        <v>931600</v>
      </c>
      <c r="D22" s="36">
        <v>1871100</v>
      </c>
      <c r="E22" s="37">
        <v>37700</v>
      </c>
      <c r="F22" s="38">
        <v>2.06</v>
      </c>
      <c r="G22" s="39">
        <v>100.8</v>
      </c>
      <c r="H22" s="36">
        <v>929100</v>
      </c>
      <c r="I22" s="36">
        <v>924000</v>
      </c>
      <c r="J22" s="36">
        <v>1853100</v>
      </c>
    </row>
    <row r="23" spans="1:10" ht="12" customHeight="1">
      <c r="A23" s="61">
        <v>1950</v>
      </c>
      <c r="B23" s="36">
        <v>958000</v>
      </c>
      <c r="C23" s="36">
        <v>950300</v>
      </c>
      <c r="D23" s="36">
        <v>1908300</v>
      </c>
      <c r="E23" s="37">
        <v>37200</v>
      </c>
      <c r="F23" s="38">
        <v>1.99</v>
      </c>
      <c r="G23" s="39">
        <v>100.8</v>
      </c>
      <c r="H23" s="36">
        <v>949100</v>
      </c>
      <c r="I23" s="36">
        <v>941700</v>
      </c>
      <c r="J23" s="36">
        <v>1890800</v>
      </c>
    </row>
    <row r="24" spans="1:10" ht="12" customHeight="1">
      <c r="A24" s="61">
        <v>1951</v>
      </c>
      <c r="B24" s="36">
        <v>978200</v>
      </c>
      <c r="C24" s="36">
        <v>969100</v>
      </c>
      <c r="D24" s="36">
        <v>1947300</v>
      </c>
      <c r="E24" s="37">
        <v>39000</v>
      </c>
      <c r="F24" s="38">
        <v>2.04</v>
      </c>
      <c r="G24" s="39">
        <v>100.9</v>
      </c>
      <c r="H24" s="36">
        <v>967500</v>
      </c>
      <c r="I24" s="36">
        <v>959800</v>
      </c>
      <c r="J24" s="36">
        <v>1927300</v>
      </c>
    </row>
    <row r="25" spans="1:10" ht="12" customHeight="1">
      <c r="A25" s="61">
        <v>1952</v>
      </c>
      <c r="B25" s="36">
        <v>1003000</v>
      </c>
      <c r="C25" s="36">
        <v>991800</v>
      </c>
      <c r="D25" s="36">
        <v>1994800</v>
      </c>
      <c r="E25" s="37">
        <v>47500</v>
      </c>
      <c r="F25" s="38">
        <v>2.44</v>
      </c>
      <c r="G25" s="39">
        <v>101.1</v>
      </c>
      <c r="H25" s="36">
        <v>989800</v>
      </c>
      <c r="I25" s="36">
        <v>980600</v>
      </c>
      <c r="J25" s="36">
        <v>1970400</v>
      </c>
    </row>
    <row r="26" spans="1:10" ht="12" customHeight="1">
      <c r="A26" s="61">
        <v>1953</v>
      </c>
      <c r="B26" s="36">
        <v>1029500</v>
      </c>
      <c r="C26" s="36">
        <v>1017900</v>
      </c>
      <c r="D26" s="36">
        <v>2047400</v>
      </c>
      <c r="E26" s="37">
        <v>52600</v>
      </c>
      <c r="F26" s="38">
        <v>2.64</v>
      </c>
      <c r="G26" s="39">
        <v>101.1</v>
      </c>
      <c r="H26" s="36">
        <v>1017000</v>
      </c>
      <c r="I26" s="36">
        <v>1005700</v>
      </c>
      <c r="J26" s="36">
        <v>2022700</v>
      </c>
    </row>
    <row r="27" spans="1:10" ht="12" customHeight="1">
      <c r="A27" s="61">
        <v>1954</v>
      </c>
      <c r="B27" s="36">
        <v>1052200</v>
      </c>
      <c r="C27" s="36">
        <v>1040600</v>
      </c>
      <c r="D27" s="36">
        <v>2092800</v>
      </c>
      <c r="E27" s="37">
        <v>45400</v>
      </c>
      <c r="F27" s="38">
        <v>2.2200000000000002</v>
      </c>
      <c r="G27" s="39">
        <v>101.1</v>
      </c>
      <c r="H27" s="36">
        <v>1042500</v>
      </c>
      <c r="I27" s="36">
        <v>1030800</v>
      </c>
      <c r="J27" s="36">
        <v>2073300</v>
      </c>
    </row>
    <row r="28" spans="1:10" ht="12" customHeight="1">
      <c r="A28" s="61">
        <v>1955</v>
      </c>
      <c r="B28" s="36">
        <v>1074600</v>
      </c>
      <c r="C28" s="36">
        <v>1061600</v>
      </c>
      <c r="D28" s="36">
        <v>2136200</v>
      </c>
      <c r="E28" s="37">
        <v>43400</v>
      </c>
      <c r="F28" s="38">
        <v>2.0699999999999998</v>
      </c>
      <c r="G28" s="39">
        <v>101.2</v>
      </c>
      <c r="H28" s="36">
        <v>1064500</v>
      </c>
      <c r="I28" s="36">
        <v>1052100</v>
      </c>
      <c r="J28" s="36">
        <v>2116600</v>
      </c>
    </row>
    <row r="29" spans="1:10" ht="12" customHeight="1">
      <c r="A29" s="61">
        <v>1956</v>
      </c>
      <c r="B29" s="36">
        <v>1095100</v>
      </c>
      <c r="C29" s="36">
        <v>1083200</v>
      </c>
      <c r="D29" s="36">
        <v>2178300</v>
      </c>
      <c r="E29" s="37">
        <v>42100</v>
      </c>
      <c r="F29" s="38">
        <v>1.97</v>
      </c>
      <c r="G29" s="39">
        <v>101.1</v>
      </c>
      <c r="H29" s="36">
        <v>1087100</v>
      </c>
      <c r="I29" s="36">
        <v>1074100</v>
      </c>
      <c r="J29" s="36">
        <v>2161200</v>
      </c>
    </row>
    <row r="30" spans="1:10" ht="12" customHeight="1">
      <c r="A30" s="61">
        <v>1957</v>
      </c>
      <c r="B30" s="36">
        <v>1120700</v>
      </c>
      <c r="C30" s="36">
        <v>1108700</v>
      </c>
      <c r="D30" s="36">
        <v>2229400</v>
      </c>
      <c r="E30" s="37">
        <v>51100</v>
      </c>
      <c r="F30" s="38">
        <v>2.35</v>
      </c>
      <c r="G30" s="39">
        <v>101.1</v>
      </c>
      <c r="H30" s="36">
        <v>1109300</v>
      </c>
      <c r="I30" s="36">
        <v>1096900</v>
      </c>
      <c r="J30" s="36">
        <v>2206200</v>
      </c>
    </row>
    <row r="31" spans="1:10" ht="12" customHeight="1">
      <c r="A31" s="61">
        <v>1958</v>
      </c>
      <c r="B31" s="36">
        <v>1147400</v>
      </c>
      <c r="C31" s="36">
        <v>1134100</v>
      </c>
      <c r="D31" s="36">
        <v>2281500</v>
      </c>
      <c r="E31" s="37">
        <v>52100</v>
      </c>
      <c r="F31" s="38">
        <v>2.34</v>
      </c>
      <c r="G31" s="39">
        <v>101.2</v>
      </c>
      <c r="H31" s="36">
        <v>1136300</v>
      </c>
      <c r="I31" s="36">
        <v>1117600</v>
      </c>
      <c r="J31" s="36">
        <v>2253900</v>
      </c>
    </row>
    <row r="32" spans="1:10" ht="12" customHeight="1">
      <c r="A32" s="61">
        <v>1959</v>
      </c>
      <c r="B32" s="36">
        <v>1172200</v>
      </c>
      <c r="C32" s="36">
        <v>1158900</v>
      </c>
      <c r="D32" s="36">
        <v>2331100</v>
      </c>
      <c r="E32" s="37">
        <v>49600</v>
      </c>
      <c r="F32" s="38">
        <v>2.17</v>
      </c>
      <c r="G32" s="39">
        <v>101.1</v>
      </c>
      <c r="H32" s="36">
        <v>1162700</v>
      </c>
      <c r="I32" s="36">
        <v>1148600</v>
      </c>
      <c r="J32" s="36">
        <v>2311300</v>
      </c>
    </row>
    <row r="33" spans="1:10" ht="12" customHeight="1">
      <c r="A33" s="61">
        <v>1960</v>
      </c>
      <c r="B33" s="36">
        <v>1191900</v>
      </c>
      <c r="C33" s="36">
        <v>1179900</v>
      </c>
      <c r="D33" s="36">
        <v>2371800</v>
      </c>
      <c r="E33" s="37">
        <v>40700</v>
      </c>
      <c r="F33" s="38">
        <v>1.75</v>
      </c>
      <c r="G33" s="39">
        <v>101</v>
      </c>
      <c r="H33" s="36">
        <v>1184500</v>
      </c>
      <c r="I33" s="36">
        <v>1171700</v>
      </c>
      <c r="J33" s="36">
        <v>2356200</v>
      </c>
    </row>
    <row r="34" spans="1:10" ht="12" customHeight="1">
      <c r="A34" s="61">
        <v>1961</v>
      </c>
      <c r="B34" s="36">
        <v>1215600</v>
      </c>
      <c r="C34" s="36">
        <v>1204100</v>
      </c>
      <c r="D34" s="36">
        <v>2419700</v>
      </c>
      <c r="E34" s="37">
        <v>47900</v>
      </c>
      <c r="F34" s="38">
        <v>2.02</v>
      </c>
      <c r="G34" s="39">
        <v>101</v>
      </c>
      <c r="H34" s="36">
        <v>1205900</v>
      </c>
      <c r="I34" s="36">
        <v>1193600</v>
      </c>
      <c r="J34" s="36">
        <v>2399500</v>
      </c>
    </row>
    <row r="35" spans="1:10" ht="12" customHeight="1">
      <c r="A35" s="61">
        <v>1962</v>
      </c>
      <c r="B35" s="36">
        <v>1247800</v>
      </c>
      <c r="C35" s="36">
        <v>1234200</v>
      </c>
      <c r="D35" s="36">
        <v>2482000</v>
      </c>
      <c r="E35" s="37">
        <v>62300</v>
      </c>
      <c r="F35" s="38">
        <v>2.57</v>
      </c>
      <c r="G35" s="39">
        <v>101.1</v>
      </c>
      <c r="H35" s="36">
        <v>1235400</v>
      </c>
      <c r="I35" s="36">
        <v>1221400</v>
      </c>
      <c r="J35" s="36">
        <v>2456800</v>
      </c>
    </row>
    <row r="36" spans="1:10" ht="12" customHeight="1">
      <c r="A36" s="61">
        <v>1963</v>
      </c>
      <c r="B36" s="36">
        <v>1270700</v>
      </c>
      <c r="C36" s="36">
        <v>1261100</v>
      </c>
      <c r="D36" s="36">
        <v>2531800</v>
      </c>
      <c r="E36" s="37">
        <v>49800</v>
      </c>
      <c r="F36" s="38">
        <v>2.0099999999999998</v>
      </c>
      <c r="G36" s="39">
        <v>100.8</v>
      </c>
      <c r="H36" s="36">
        <v>1261800</v>
      </c>
      <c r="I36" s="36">
        <v>1249500</v>
      </c>
      <c r="J36" s="36">
        <v>2511300</v>
      </c>
    </row>
    <row r="37" spans="1:10" ht="12" customHeight="1">
      <c r="A37" s="61">
        <v>1964</v>
      </c>
      <c r="B37" s="36">
        <v>1297500</v>
      </c>
      <c r="C37" s="36">
        <v>1287900</v>
      </c>
      <c r="D37" s="36">
        <v>2585400</v>
      </c>
      <c r="E37" s="37">
        <v>53600</v>
      </c>
      <c r="F37" s="38">
        <v>2.12</v>
      </c>
      <c r="G37" s="39">
        <v>100.7</v>
      </c>
      <c r="H37" s="36">
        <v>1286800</v>
      </c>
      <c r="I37" s="36">
        <v>1276800</v>
      </c>
      <c r="J37" s="36">
        <v>2563600</v>
      </c>
    </row>
    <row r="38" spans="1:10" ht="12" customHeight="1">
      <c r="A38" s="61">
        <v>1965</v>
      </c>
      <c r="B38" s="36">
        <v>1317800</v>
      </c>
      <c r="C38" s="36">
        <v>1310600</v>
      </c>
      <c r="D38" s="36">
        <v>2628400</v>
      </c>
      <c r="E38" s="37">
        <v>43000</v>
      </c>
      <c r="F38" s="38">
        <v>1.66</v>
      </c>
      <c r="G38" s="39">
        <v>100.5</v>
      </c>
      <c r="H38" s="36">
        <v>1310400</v>
      </c>
      <c r="I38" s="36">
        <v>1302000</v>
      </c>
      <c r="J38" s="36">
        <v>2612400</v>
      </c>
    </row>
    <row r="39" spans="1:10" ht="12" customHeight="1">
      <c r="A39" s="61">
        <v>1966</v>
      </c>
      <c r="B39" s="36">
        <v>1342000</v>
      </c>
      <c r="C39" s="36">
        <v>1333900</v>
      </c>
      <c r="D39" s="36">
        <v>2675900</v>
      </c>
      <c r="E39" s="37">
        <v>47500</v>
      </c>
      <c r="F39" s="38">
        <v>1.81</v>
      </c>
      <c r="G39" s="39">
        <v>100.6</v>
      </c>
      <c r="H39" s="36">
        <v>1334200</v>
      </c>
      <c r="I39" s="36">
        <v>1324900</v>
      </c>
      <c r="J39" s="36">
        <v>2659100</v>
      </c>
    </row>
    <row r="40" spans="1:10" ht="12" customHeight="1">
      <c r="A40" s="61">
        <v>1967</v>
      </c>
      <c r="B40" s="36">
        <v>1365200</v>
      </c>
      <c r="C40" s="36">
        <v>1358900</v>
      </c>
      <c r="D40" s="36">
        <v>2724100</v>
      </c>
      <c r="E40" s="37">
        <v>48200</v>
      </c>
      <c r="F40" s="38">
        <v>1.8</v>
      </c>
      <c r="G40" s="39">
        <v>100.5</v>
      </c>
      <c r="H40" s="36">
        <v>1357900</v>
      </c>
      <c r="I40" s="36">
        <v>1349000</v>
      </c>
      <c r="J40" s="36">
        <v>2706900</v>
      </c>
    </row>
    <row r="41" spans="1:10" ht="12" customHeight="1">
      <c r="A41" s="61">
        <v>1968</v>
      </c>
      <c r="B41" s="36">
        <v>1374600</v>
      </c>
      <c r="C41" s="36">
        <v>1373500</v>
      </c>
      <c r="D41" s="36">
        <v>2748100</v>
      </c>
      <c r="E41" s="37">
        <v>24000</v>
      </c>
      <c r="F41" s="38">
        <v>0.88</v>
      </c>
      <c r="G41" s="39">
        <v>100.1</v>
      </c>
      <c r="H41" s="36">
        <v>1372200</v>
      </c>
      <c r="I41" s="36">
        <v>1369400</v>
      </c>
      <c r="J41" s="36">
        <v>2741600</v>
      </c>
    </row>
    <row r="42" spans="1:10" ht="12" customHeight="1">
      <c r="A42" s="61">
        <v>1969</v>
      </c>
      <c r="B42" s="36">
        <v>1384400</v>
      </c>
      <c r="C42" s="36">
        <v>1388400</v>
      </c>
      <c r="D42" s="36">
        <v>2772800</v>
      </c>
      <c r="E42" s="37">
        <v>24700</v>
      </c>
      <c r="F42" s="38">
        <v>0.9</v>
      </c>
      <c r="G42" s="39">
        <v>99.7</v>
      </c>
      <c r="H42" s="36">
        <v>1382100</v>
      </c>
      <c r="I42" s="36">
        <v>1384100</v>
      </c>
      <c r="J42" s="36">
        <v>2766200</v>
      </c>
    </row>
    <row r="43" spans="1:10" ht="12" customHeight="1">
      <c r="A43" s="61">
        <v>1970</v>
      </c>
      <c r="B43" s="36">
        <v>1404800</v>
      </c>
      <c r="C43" s="36">
        <v>1405900</v>
      </c>
      <c r="D43" s="36">
        <v>2810700</v>
      </c>
      <c r="E43" s="37">
        <v>37900</v>
      </c>
      <c r="F43" s="38">
        <v>1.37</v>
      </c>
      <c r="G43" s="39">
        <v>99.9</v>
      </c>
      <c r="H43" s="36">
        <v>1397500</v>
      </c>
      <c r="I43" s="36">
        <v>1400900</v>
      </c>
      <c r="J43" s="36">
        <v>2798400</v>
      </c>
    </row>
    <row r="44" spans="1:10" ht="12" customHeight="1">
      <c r="A44" s="61">
        <v>1971</v>
      </c>
      <c r="B44" s="36">
        <v>1425500</v>
      </c>
      <c r="C44" s="36">
        <v>1427500</v>
      </c>
      <c r="D44" s="36">
        <v>2853000</v>
      </c>
      <c r="E44" s="37">
        <v>42300</v>
      </c>
      <c r="F44" s="38">
        <v>1.5</v>
      </c>
      <c r="G44" s="39">
        <v>99.9</v>
      </c>
      <c r="H44" s="36">
        <v>1420500</v>
      </c>
      <c r="I44" s="36">
        <v>1421700</v>
      </c>
      <c r="J44" s="36">
        <v>2842200</v>
      </c>
    </row>
    <row r="45" spans="1:10" ht="12" customHeight="1">
      <c r="A45" s="61">
        <v>1972</v>
      </c>
      <c r="B45" s="36">
        <v>1450800</v>
      </c>
      <c r="C45" s="36">
        <v>1453100</v>
      </c>
      <c r="D45" s="36">
        <v>2903900</v>
      </c>
      <c r="E45" s="37">
        <v>50900</v>
      </c>
      <c r="F45" s="38">
        <v>1.78</v>
      </c>
      <c r="G45" s="39">
        <v>99.8</v>
      </c>
      <c r="H45" s="36">
        <v>1442700</v>
      </c>
      <c r="I45" s="36">
        <v>1445800</v>
      </c>
      <c r="J45" s="36">
        <v>2888500</v>
      </c>
    </row>
    <row r="46" spans="1:10" ht="12" customHeight="1">
      <c r="A46" s="61">
        <v>1973</v>
      </c>
      <c r="B46" s="36">
        <v>1479900</v>
      </c>
      <c r="C46" s="36">
        <v>1481400</v>
      </c>
      <c r="D46" s="36">
        <v>2961300</v>
      </c>
      <c r="E46" s="37">
        <v>57400</v>
      </c>
      <c r="F46" s="38">
        <v>1.98</v>
      </c>
      <c r="G46" s="39">
        <v>99.9</v>
      </c>
      <c r="H46" s="36">
        <v>1471600</v>
      </c>
      <c r="I46" s="36">
        <v>1474800</v>
      </c>
      <c r="J46" s="36">
        <v>2946400</v>
      </c>
    </row>
    <row r="47" spans="1:10" ht="12" customHeight="1">
      <c r="A47" s="61">
        <v>1974</v>
      </c>
      <c r="B47" s="36">
        <v>1510200</v>
      </c>
      <c r="C47" s="36">
        <v>1513500</v>
      </c>
      <c r="D47" s="36">
        <v>3023700</v>
      </c>
      <c r="E47" s="37">
        <v>62400</v>
      </c>
      <c r="F47" s="38">
        <v>2.11</v>
      </c>
      <c r="G47" s="39">
        <v>99.8</v>
      </c>
      <c r="H47" s="36">
        <v>1503300</v>
      </c>
      <c r="I47" s="36">
        <v>1506500</v>
      </c>
      <c r="J47" s="36">
        <v>3009800</v>
      </c>
    </row>
    <row r="48" spans="1:10" ht="12" customHeight="1">
      <c r="A48" s="61">
        <v>1975</v>
      </c>
      <c r="B48" s="36">
        <v>1539800</v>
      </c>
      <c r="C48" s="36">
        <v>1543300</v>
      </c>
      <c r="D48" s="36">
        <v>3083100</v>
      </c>
      <c r="E48" s="37">
        <v>59400</v>
      </c>
      <c r="F48" s="38">
        <v>1.96</v>
      </c>
      <c r="G48" s="39">
        <v>99.8</v>
      </c>
      <c r="H48" s="36">
        <v>1534400</v>
      </c>
      <c r="I48" s="36">
        <v>1538600</v>
      </c>
      <c r="J48" s="36">
        <v>3073000</v>
      </c>
    </row>
    <row r="49" spans="1:10" ht="12" customHeight="1">
      <c r="A49" s="61">
        <v>1976</v>
      </c>
      <c r="B49" s="36">
        <v>1553500</v>
      </c>
      <c r="C49" s="36">
        <v>1557000</v>
      </c>
      <c r="D49" s="36">
        <v>3110500</v>
      </c>
      <c r="E49" s="37">
        <v>27400</v>
      </c>
      <c r="F49" s="38">
        <v>0.89</v>
      </c>
      <c r="G49" s="39">
        <v>99.8</v>
      </c>
      <c r="H49" s="36">
        <v>1556800</v>
      </c>
      <c r="I49" s="36">
        <v>1562700</v>
      </c>
      <c r="J49" s="36">
        <v>3119500</v>
      </c>
    </row>
    <row r="50" spans="1:10" ht="12" customHeight="1">
      <c r="A50" s="61">
        <v>1977</v>
      </c>
      <c r="B50" s="36">
        <v>1556700</v>
      </c>
      <c r="C50" s="36">
        <v>1563500</v>
      </c>
      <c r="D50" s="36">
        <v>3120200</v>
      </c>
      <c r="E50" s="37">
        <v>9700</v>
      </c>
      <c r="F50" s="38">
        <v>0.31</v>
      </c>
      <c r="G50" s="39">
        <v>99.6</v>
      </c>
      <c r="H50" s="36">
        <v>1566300</v>
      </c>
      <c r="I50" s="36">
        <v>1572900</v>
      </c>
      <c r="J50" s="36">
        <v>3139200</v>
      </c>
    </row>
    <row r="51" spans="1:10" ht="12" customHeight="1">
      <c r="A51" s="61">
        <v>1978</v>
      </c>
      <c r="B51" s="36">
        <v>1556100</v>
      </c>
      <c r="C51" s="36">
        <v>1565100</v>
      </c>
      <c r="D51" s="36">
        <v>3121200</v>
      </c>
      <c r="E51" s="37">
        <v>1000</v>
      </c>
      <c r="F51" s="38">
        <v>0.03</v>
      </c>
      <c r="G51" s="39">
        <v>99.4</v>
      </c>
      <c r="H51" s="36">
        <v>1567600</v>
      </c>
      <c r="I51" s="36">
        <v>1576700</v>
      </c>
      <c r="J51" s="36">
        <v>3144300</v>
      </c>
    </row>
    <row r="52" spans="1:10" ht="12" customHeight="1">
      <c r="A52" s="61">
        <v>1979</v>
      </c>
      <c r="B52" s="36">
        <v>1548400</v>
      </c>
      <c r="C52" s="36">
        <v>1560600</v>
      </c>
      <c r="D52" s="36">
        <v>3109000</v>
      </c>
      <c r="E52" s="37">
        <v>-12200</v>
      </c>
      <c r="F52" s="38">
        <v>-0.39</v>
      </c>
      <c r="G52" s="39">
        <v>99.2</v>
      </c>
      <c r="H52" s="36">
        <v>1564400</v>
      </c>
      <c r="I52" s="36">
        <v>1576900</v>
      </c>
      <c r="J52" s="36">
        <v>3141300</v>
      </c>
    </row>
    <row r="53" spans="1:10" ht="12" customHeight="1">
      <c r="A53" s="61">
        <v>1980</v>
      </c>
      <c r="B53" s="36">
        <v>1548200</v>
      </c>
      <c r="C53" s="36">
        <v>1564700</v>
      </c>
      <c r="D53" s="36">
        <v>3112900</v>
      </c>
      <c r="E53" s="37">
        <v>3900</v>
      </c>
      <c r="F53" s="38">
        <v>0.13</v>
      </c>
      <c r="G53" s="39">
        <v>98.9</v>
      </c>
      <c r="H53" s="36">
        <v>1561300</v>
      </c>
      <c r="I53" s="36">
        <v>1577600</v>
      </c>
      <c r="J53" s="36">
        <v>3138900</v>
      </c>
    </row>
    <row r="54" spans="1:10" ht="12" customHeight="1">
      <c r="A54" s="61">
        <v>1981</v>
      </c>
      <c r="B54" s="36">
        <v>1553600</v>
      </c>
      <c r="C54" s="36">
        <v>1571300</v>
      </c>
      <c r="D54" s="36">
        <v>3124900</v>
      </c>
      <c r="E54" s="37">
        <v>12000</v>
      </c>
      <c r="F54" s="38">
        <v>0.39</v>
      </c>
      <c r="G54" s="39">
        <v>98.9</v>
      </c>
      <c r="H54" s="36">
        <v>1566500</v>
      </c>
      <c r="I54" s="36">
        <v>1582900</v>
      </c>
      <c r="J54" s="36">
        <v>3149400</v>
      </c>
    </row>
    <row r="55" spans="1:10" ht="12" customHeight="1">
      <c r="A55" s="61">
        <v>1982</v>
      </c>
      <c r="B55" s="36">
        <v>1566700</v>
      </c>
      <c r="C55" s="36">
        <v>1589400</v>
      </c>
      <c r="D55" s="36">
        <v>3156100</v>
      </c>
      <c r="E55" s="37">
        <v>31200</v>
      </c>
      <c r="F55" s="38">
        <v>1</v>
      </c>
      <c r="G55" s="39">
        <v>98.6</v>
      </c>
      <c r="H55" s="36">
        <v>1573400</v>
      </c>
      <c r="I55" s="36">
        <v>1593900</v>
      </c>
      <c r="J55" s="36">
        <v>3167300</v>
      </c>
    </row>
    <row r="56" spans="1:10" ht="12" customHeight="1">
      <c r="A56" s="61">
        <v>1983</v>
      </c>
      <c r="B56" s="36">
        <v>1589100</v>
      </c>
      <c r="C56" s="36">
        <v>1610200</v>
      </c>
      <c r="D56" s="36">
        <v>3199300</v>
      </c>
      <c r="E56" s="37">
        <v>43200</v>
      </c>
      <c r="F56" s="38">
        <v>1.37</v>
      </c>
      <c r="G56" s="39">
        <v>98.7</v>
      </c>
      <c r="H56" s="36">
        <v>1588500</v>
      </c>
      <c r="I56" s="36">
        <v>1611200</v>
      </c>
      <c r="J56" s="36">
        <v>3199700</v>
      </c>
    </row>
    <row r="57" spans="1:10" ht="12" customHeight="1">
      <c r="A57" s="61">
        <v>1984</v>
      </c>
      <c r="B57" s="36">
        <v>1600600</v>
      </c>
      <c r="C57" s="36">
        <v>1626500</v>
      </c>
      <c r="D57" s="36">
        <v>3227100</v>
      </c>
      <c r="E57" s="37">
        <v>27800</v>
      </c>
      <c r="F57" s="38">
        <v>0.87</v>
      </c>
      <c r="G57" s="39">
        <v>98.4</v>
      </c>
      <c r="H57" s="36">
        <v>1606900</v>
      </c>
      <c r="I57" s="36">
        <v>1631400</v>
      </c>
      <c r="J57" s="36">
        <v>3238300</v>
      </c>
    </row>
    <row r="58" spans="1:10" ht="12" customHeight="1">
      <c r="A58" s="61">
        <v>1985</v>
      </c>
      <c r="B58" s="36">
        <v>1608600</v>
      </c>
      <c r="C58" s="36">
        <v>1638500</v>
      </c>
      <c r="D58" s="36">
        <v>3247100</v>
      </c>
      <c r="E58" s="37">
        <v>20000</v>
      </c>
      <c r="F58" s="38">
        <v>0.62</v>
      </c>
      <c r="G58" s="39">
        <v>98.2</v>
      </c>
      <c r="H58" s="36">
        <v>1618000</v>
      </c>
      <c r="I58" s="36">
        <v>1646700</v>
      </c>
      <c r="J58" s="36">
        <v>3264700</v>
      </c>
    </row>
    <row r="59" spans="1:10" ht="12" customHeight="1">
      <c r="A59" s="61">
        <v>1986</v>
      </c>
      <c r="B59" s="36">
        <v>1607800</v>
      </c>
      <c r="C59" s="36">
        <v>1638500</v>
      </c>
      <c r="D59" s="36">
        <v>3246300</v>
      </c>
      <c r="E59" s="37">
        <v>-800</v>
      </c>
      <c r="F59" s="38">
        <v>-0.02</v>
      </c>
      <c r="G59" s="39">
        <v>98.1</v>
      </c>
      <c r="H59" s="36">
        <v>1621800</v>
      </c>
      <c r="I59" s="36">
        <v>1652000</v>
      </c>
      <c r="J59" s="36">
        <v>3273800</v>
      </c>
    </row>
    <row r="60" spans="1:10" ht="12" customHeight="1">
      <c r="A60" s="61">
        <v>1987</v>
      </c>
      <c r="B60" s="36">
        <v>1620100</v>
      </c>
      <c r="C60" s="36">
        <v>1654300</v>
      </c>
      <c r="D60" s="36">
        <v>3274400</v>
      </c>
      <c r="E60" s="37">
        <v>28100</v>
      </c>
      <c r="F60" s="38">
        <v>0.87</v>
      </c>
      <c r="G60" s="39">
        <v>97.9</v>
      </c>
      <c r="H60" s="36">
        <v>1626900</v>
      </c>
      <c r="I60" s="36">
        <v>1661400</v>
      </c>
      <c r="J60" s="36">
        <v>3288300</v>
      </c>
    </row>
    <row r="61" spans="1:10" ht="12" customHeight="1">
      <c r="A61" s="61">
        <v>1988</v>
      </c>
      <c r="B61" s="36">
        <v>1622800</v>
      </c>
      <c r="C61" s="36">
        <v>1660600</v>
      </c>
      <c r="D61" s="36">
        <v>3283400</v>
      </c>
      <c r="E61" s="37">
        <v>9000</v>
      </c>
      <c r="F61" s="38">
        <v>0.27</v>
      </c>
      <c r="G61" s="39">
        <v>97.7</v>
      </c>
      <c r="H61" s="36">
        <v>1638300</v>
      </c>
      <c r="I61" s="36">
        <v>1676000</v>
      </c>
      <c r="J61" s="36">
        <v>3314300</v>
      </c>
    </row>
    <row r="62" spans="1:10" ht="12" customHeight="1">
      <c r="A62" s="61">
        <v>1989</v>
      </c>
      <c r="B62" s="36">
        <v>1627700</v>
      </c>
      <c r="C62" s="36">
        <v>1671500</v>
      </c>
      <c r="D62" s="36">
        <v>3299200</v>
      </c>
      <c r="E62" s="37">
        <v>15800</v>
      </c>
      <c r="F62" s="38">
        <v>0.48</v>
      </c>
      <c r="G62" s="39">
        <v>97.4</v>
      </c>
      <c r="H62" s="36">
        <v>1638800</v>
      </c>
      <c r="I62" s="36">
        <v>1682500</v>
      </c>
      <c r="J62" s="36">
        <v>3321300</v>
      </c>
    </row>
    <row r="63" spans="1:10" ht="12" customHeight="1">
      <c r="A63" s="61">
        <v>1990</v>
      </c>
      <c r="B63" s="36">
        <v>1642000</v>
      </c>
      <c r="C63" s="36">
        <v>1687800</v>
      </c>
      <c r="D63" s="36">
        <v>3329800</v>
      </c>
      <c r="E63" s="37">
        <v>30600</v>
      </c>
      <c r="F63" s="38">
        <v>0.93</v>
      </c>
      <c r="G63" s="39">
        <v>97.3</v>
      </c>
      <c r="H63" s="36">
        <v>1646800</v>
      </c>
      <c r="I63" s="36">
        <v>1696800</v>
      </c>
      <c r="J63" s="36">
        <v>3343600</v>
      </c>
    </row>
    <row r="64" spans="1:10" ht="12" customHeight="1">
      <c r="A64" s="78" t="s">
        <v>35</v>
      </c>
      <c r="B64" s="79"/>
      <c r="C64" s="79"/>
      <c r="D64" s="79"/>
      <c r="E64" s="79"/>
      <c r="F64" s="79"/>
      <c r="G64" s="79"/>
      <c r="H64" s="79"/>
      <c r="I64" s="79"/>
      <c r="J64" s="79"/>
    </row>
    <row r="65" spans="1:10" ht="12" customHeight="1">
      <c r="A65" s="61" t="s">
        <v>36</v>
      </c>
      <c r="B65" s="36">
        <v>1719300</v>
      </c>
      <c r="C65" s="36">
        <v>1775800</v>
      </c>
      <c r="D65" s="36">
        <v>3495100</v>
      </c>
      <c r="E65" s="9" t="s">
        <v>71</v>
      </c>
      <c r="F65" s="9" t="s">
        <v>71</v>
      </c>
      <c r="G65" s="39">
        <v>96.8</v>
      </c>
      <c r="H65" s="9" t="s">
        <v>71</v>
      </c>
      <c r="I65" s="9" t="s">
        <v>71</v>
      </c>
      <c r="J65" s="9" t="s">
        <v>71</v>
      </c>
    </row>
    <row r="66" spans="1:10" ht="12" customHeight="1">
      <c r="A66" s="61" t="s">
        <v>37</v>
      </c>
      <c r="B66" s="36">
        <v>1739000</v>
      </c>
      <c r="C66" s="36">
        <v>1792700</v>
      </c>
      <c r="D66" s="36">
        <v>3531700</v>
      </c>
      <c r="E66" s="37">
        <v>36600</v>
      </c>
      <c r="F66" s="38">
        <v>1.05</v>
      </c>
      <c r="G66" s="39">
        <v>97</v>
      </c>
      <c r="H66" s="36">
        <v>1729800</v>
      </c>
      <c r="I66" s="36">
        <v>1785300</v>
      </c>
      <c r="J66" s="36">
        <v>3515100</v>
      </c>
    </row>
    <row r="67" spans="1:10" ht="12" customHeight="1">
      <c r="A67" s="61" t="s">
        <v>38</v>
      </c>
      <c r="B67" s="36">
        <v>1759400</v>
      </c>
      <c r="C67" s="36">
        <v>1812800</v>
      </c>
      <c r="D67" s="36">
        <v>3572200</v>
      </c>
      <c r="E67" s="37">
        <v>40500</v>
      </c>
      <c r="F67" s="38">
        <v>1.1499999999999999</v>
      </c>
      <c r="G67" s="39">
        <v>97.1</v>
      </c>
      <c r="H67" s="36">
        <v>1749200</v>
      </c>
      <c r="I67" s="36">
        <v>1802900</v>
      </c>
      <c r="J67" s="36">
        <v>3552100</v>
      </c>
    </row>
    <row r="68" spans="1:10" ht="12" customHeight="1">
      <c r="A68" s="61" t="s">
        <v>39</v>
      </c>
      <c r="B68" s="36">
        <v>1783800</v>
      </c>
      <c r="C68" s="36">
        <v>1836300</v>
      </c>
      <c r="D68" s="36">
        <v>3620000</v>
      </c>
      <c r="E68" s="37">
        <v>47800</v>
      </c>
      <c r="F68" s="38">
        <v>1.34</v>
      </c>
      <c r="G68" s="39">
        <v>97.1</v>
      </c>
      <c r="H68" s="36">
        <v>1772100</v>
      </c>
      <c r="I68" s="36">
        <v>1825000</v>
      </c>
      <c r="J68" s="36">
        <v>3597100</v>
      </c>
    </row>
    <row r="69" spans="1:10" ht="12" customHeight="1">
      <c r="A69" s="61" t="s">
        <v>40</v>
      </c>
      <c r="B69" s="36">
        <v>1810800</v>
      </c>
      <c r="C69" s="36">
        <v>1862600</v>
      </c>
      <c r="D69" s="36">
        <v>3673400</v>
      </c>
      <c r="E69" s="37">
        <v>53400</v>
      </c>
      <c r="F69" s="38">
        <v>1.47</v>
      </c>
      <c r="G69" s="39">
        <v>97.2</v>
      </c>
      <c r="H69" s="36">
        <v>1797700</v>
      </c>
      <c r="I69" s="36">
        <v>1850000</v>
      </c>
      <c r="J69" s="36">
        <v>3647600</v>
      </c>
    </row>
    <row r="70" spans="1:10" ht="12" customHeight="1">
      <c r="A70" s="61" t="s">
        <v>41</v>
      </c>
      <c r="B70" s="36">
        <v>1841300</v>
      </c>
      <c r="C70" s="36">
        <v>1890700</v>
      </c>
      <c r="D70" s="36">
        <v>3732000</v>
      </c>
      <c r="E70" s="37">
        <v>58600</v>
      </c>
      <c r="F70" s="38">
        <v>1.59</v>
      </c>
      <c r="G70" s="39">
        <v>97.4</v>
      </c>
      <c r="H70" s="36">
        <v>1827400</v>
      </c>
      <c r="I70" s="36">
        <v>1878000</v>
      </c>
      <c r="J70" s="36">
        <v>3705400</v>
      </c>
    </row>
    <row r="71" spans="1:10" ht="12" customHeight="1">
      <c r="A71" s="61" t="s">
        <v>42</v>
      </c>
      <c r="B71" s="36">
        <v>1863700</v>
      </c>
      <c r="C71" s="36">
        <v>1917700</v>
      </c>
      <c r="D71" s="36">
        <v>3781300</v>
      </c>
      <c r="E71" s="37">
        <v>49300</v>
      </c>
      <c r="F71" s="38">
        <v>1.32</v>
      </c>
      <c r="G71" s="39">
        <v>97.2</v>
      </c>
      <c r="H71" s="36">
        <v>1854200</v>
      </c>
      <c r="I71" s="36">
        <v>1905800</v>
      </c>
      <c r="J71" s="36">
        <v>3759900</v>
      </c>
    </row>
    <row r="72" spans="1:10" ht="12" customHeight="1">
      <c r="A72" s="61" t="s">
        <v>43</v>
      </c>
      <c r="B72" s="36">
        <v>1877800</v>
      </c>
      <c r="C72" s="36">
        <v>1937200</v>
      </c>
      <c r="D72" s="36">
        <v>3815000</v>
      </c>
      <c r="E72" s="37">
        <v>33700</v>
      </c>
      <c r="F72" s="38">
        <v>0.89</v>
      </c>
      <c r="G72" s="39">
        <v>96.9</v>
      </c>
      <c r="H72" s="36">
        <v>1872000</v>
      </c>
      <c r="I72" s="36">
        <v>1928800</v>
      </c>
      <c r="J72" s="36">
        <v>3800800</v>
      </c>
    </row>
    <row r="73" spans="1:10" ht="12" customHeight="1">
      <c r="A73" s="61" t="s">
        <v>44</v>
      </c>
      <c r="B73" s="36">
        <v>1884900</v>
      </c>
      <c r="C73" s="36">
        <v>1950200</v>
      </c>
      <c r="D73" s="36">
        <v>3835100</v>
      </c>
      <c r="E73" s="37">
        <v>20100</v>
      </c>
      <c r="F73" s="38">
        <v>0.53</v>
      </c>
      <c r="G73" s="39">
        <v>96.7</v>
      </c>
      <c r="H73" s="36">
        <v>1882200</v>
      </c>
      <c r="I73" s="36">
        <v>1944800</v>
      </c>
      <c r="J73" s="36">
        <v>3827000</v>
      </c>
    </row>
    <row r="74" spans="1:10" ht="12" customHeight="1">
      <c r="A74" s="61" t="s">
        <v>45</v>
      </c>
      <c r="B74" s="36">
        <v>1893800</v>
      </c>
      <c r="C74" s="36">
        <v>1964000</v>
      </c>
      <c r="D74" s="36">
        <v>3857700</v>
      </c>
      <c r="E74" s="37">
        <v>22600</v>
      </c>
      <c r="F74" s="38">
        <v>0.59</v>
      </c>
      <c r="G74" s="39">
        <v>96.4</v>
      </c>
      <c r="H74" s="36">
        <v>1890400</v>
      </c>
      <c r="I74" s="36">
        <v>1958200</v>
      </c>
      <c r="J74" s="36">
        <v>3848600</v>
      </c>
    </row>
    <row r="75" spans="1:10" ht="12" customHeight="1">
      <c r="A75" s="61" t="s">
        <v>46</v>
      </c>
      <c r="B75" s="36">
        <v>1903200</v>
      </c>
      <c r="C75" s="36">
        <v>1977300</v>
      </c>
      <c r="D75" s="36">
        <v>3880500</v>
      </c>
      <c r="E75" s="37">
        <v>22700</v>
      </c>
      <c r="F75" s="38">
        <v>0.59</v>
      </c>
      <c r="G75" s="39">
        <v>96.3</v>
      </c>
      <c r="H75" s="36">
        <v>1899300</v>
      </c>
      <c r="I75" s="36">
        <v>1971500</v>
      </c>
      <c r="J75" s="36">
        <v>3870800</v>
      </c>
    </row>
    <row r="76" spans="1:10" ht="12" customHeight="1">
      <c r="A76" s="61" t="s">
        <v>47</v>
      </c>
      <c r="B76" s="36">
        <v>1936500</v>
      </c>
      <c r="C76" s="36">
        <v>2012000</v>
      </c>
      <c r="D76" s="36">
        <v>3948500</v>
      </c>
      <c r="E76" s="37">
        <v>68000</v>
      </c>
      <c r="F76" s="38">
        <v>1.75</v>
      </c>
      <c r="G76" s="39">
        <v>96.2</v>
      </c>
      <c r="H76" s="36">
        <v>1920200</v>
      </c>
      <c r="I76" s="36">
        <v>1995200</v>
      </c>
      <c r="J76" s="36">
        <v>3915400</v>
      </c>
    </row>
    <row r="77" spans="1:10" ht="12" customHeight="1">
      <c r="A77" s="61" t="s">
        <v>48</v>
      </c>
      <c r="B77" s="36">
        <v>1975600</v>
      </c>
      <c r="C77" s="36">
        <v>2051700</v>
      </c>
      <c r="D77" s="36">
        <v>4027200</v>
      </c>
      <c r="E77" s="37">
        <v>78800</v>
      </c>
      <c r="F77" s="38">
        <v>1.99</v>
      </c>
      <c r="G77" s="39">
        <v>96.3</v>
      </c>
      <c r="H77" s="36">
        <v>1956900</v>
      </c>
      <c r="I77" s="36">
        <v>2032700</v>
      </c>
      <c r="J77" s="36">
        <v>3989600</v>
      </c>
    </row>
    <row r="78" spans="1:10" ht="12" customHeight="1">
      <c r="A78" s="61" t="s">
        <v>49</v>
      </c>
      <c r="B78" s="36">
        <v>2003800</v>
      </c>
      <c r="C78" s="36">
        <v>2083800</v>
      </c>
      <c r="D78" s="36">
        <v>4087500</v>
      </c>
      <c r="E78" s="37">
        <v>60300</v>
      </c>
      <c r="F78" s="38">
        <v>1.5</v>
      </c>
      <c r="G78" s="39">
        <v>96.2</v>
      </c>
      <c r="H78" s="36">
        <v>1991300</v>
      </c>
      <c r="I78" s="36">
        <v>2069300</v>
      </c>
      <c r="J78" s="36">
        <v>4060600</v>
      </c>
    </row>
    <row r="79" spans="1:10" ht="12" customHeight="1">
      <c r="A79" s="61" t="s">
        <v>50</v>
      </c>
      <c r="B79" s="36">
        <v>2025200</v>
      </c>
      <c r="C79" s="36">
        <v>2108700</v>
      </c>
      <c r="D79" s="36">
        <v>4133900</v>
      </c>
      <c r="E79" s="37">
        <v>46300</v>
      </c>
      <c r="F79" s="38">
        <v>1.1299999999999999</v>
      </c>
      <c r="G79" s="39">
        <v>96</v>
      </c>
      <c r="H79" s="36">
        <v>2015700</v>
      </c>
      <c r="I79" s="36">
        <v>2097400</v>
      </c>
      <c r="J79" s="36">
        <v>4113100</v>
      </c>
    </row>
    <row r="80" spans="1:10" ht="12" customHeight="1">
      <c r="A80" s="61" t="s">
        <v>51</v>
      </c>
      <c r="B80" s="36">
        <v>2048300</v>
      </c>
      <c r="C80" s="36">
        <v>2136200</v>
      </c>
      <c r="D80" s="36">
        <v>4184600</v>
      </c>
      <c r="E80" s="37">
        <v>50700</v>
      </c>
      <c r="F80" s="38">
        <v>1.23</v>
      </c>
      <c r="G80" s="39">
        <v>95.9</v>
      </c>
      <c r="H80" s="36">
        <v>2037400</v>
      </c>
      <c r="I80" s="36">
        <v>2123100</v>
      </c>
      <c r="J80" s="36">
        <v>4160600</v>
      </c>
    </row>
    <row r="81" spans="1:29" ht="12" customHeight="1">
      <c r="A81" s="61" t="s">
        <v>52</v>
      </c>
      <c r="B81" s="36">
        <v>2066400</v>
      </c>
      <c r="C81" s="36">
        <v>2157300</v>
      </c>
      <c r="D81" s="36">
        <v>4223800</v>
      </c>
      <c r="E81" s="37">
        <v>39200</v>
      </c>
      <c r="F81" s="38">
        <v>0.94</v>
      </c>
      <c r="G81" s="39">
        <v>95.8</v>
      </c>
      <c r="H81" s="36">
        <v>2058700</v>
      </c>
      <c r="I81" s="36">
        <v>2148300</v>
      </c>
      <c r="J81" s="36">
        <v>4207000</v>
      </c>
    </row>
    <row r="82" spans="1:29" ht="12" customHeight="1">
      <c r="A82" s="61" t="s">
        <v>53</v>
      </c>
      <c r="B82" s="36">
        <v>2083400</v>
      </c>
      <c r="C82" s="36">
        <v>2176300</v>
      </c>
      <c r="D82" s="36">
        <v>4259800</v>
      </c>
      <c r="E82" s="37">
        <v>36000</v>
      </c>
      <c r="F82" s="38">
        <v>0.85</v>
      </c>
      <c r="G82" s="39">
        <v>95.7</v>
      </c>
      <c r="H82" s="36">
        <v>2076200</v>
      </c>
      <c r="I82" s="36">
        <v>2168200</v>
      </c>
      <c r="J82" s="36">
        <v>4244300</v>
      </c>
    </row>
    <row r="83" spans="1:29" ht="12" customHeight="1">
      <c r="A83" s="61" t="s">
        <v>54</v>
      </c>
      <c r="B83" s="36">
        <v>2104700</v>
      </c>
      <c r="C83" s="36">
        <v>2197900</v>
      </c>
      <c r="D83" s="36">
        <v>4302600</v>
      </c>
      <c r="E83" s="37">
        <v>42800</v>
      </c>
      <c r="F83" s="38">
        <v>1.01</v>
      </c>
      <c r="G83" s="39">
        <v>95.8</v>
      </c>
      <c r="H83" s="36">
        <v>2093900</v>
      </c>
      <c r="I83" s="36">
        <v>2187200</v>
      </c>
      <c r="J83" s="36">
        <v>4281100</v>
      </c>
    </row>
    <row r="84" spans="1:29" ht="12" customHeight="1">
      <c r="A84" s="61" t="s">
        <v>55</v>
      </c>
      <c r="B84" s="36">
        <v>2127700</v>
      </c>
      <c r="C84" s="36">
        <v>2222900</v>
      </c>
      <c r="D84" s="36">
        <v>4350700</v>
      </c>
      <c r="E84" s="37">
        <v>48100</v>
      </c>
      <c r="F84" s="38">
        <v>1.1200000000000001</v>
      </c>
      <c r="G84" s="39">
        <v>95.7</v>
      </c>
      <c r="H84" s="36">
        <v>2118300</v>
      </c>
      <c r="I84" s="36">
        <v>2212200</v>
      </c>
      <c r="J84" s="36">
        <v>4330400</v>
      </c>
      <c r="K84" s="58"/>
      <c r="L84" s="58"/>
      <c r="M84" s="58"/>
    </row>
    <row r="85" spans="1:29" ht="12" customHeight="1">
      <c r="A85" s="61" t="s">
        <v>56</v>
      </c>
      <c r="B85" s="36">
        <v>2143600</v>
      </c>
      <c r="C85" s="36">
        <v>2240400</v>
      </c>
      <c r="D85" s="36">
        <v>4384000</v>
      </c>
      <c r="E85" s="37">
        <v>33300</v>
      </c>
      <c r="F85" s="38">
        <v>0.77</v>
      </c>
      <c r="G85" s="39">
        <v>95.7</v>
      </c>
      <c r="H85" s="36">
        <v>2137900</v>
      </c>
      <c r="I85" s="36">
        <v>2233700</v>
      </c>
      <c r="J85" s="36">
        <v>4371600</v>
      </c>
      <c r="K85" s="58"/>
      <c r="L85" s="58"/>
      <c r="M85" s="58"/>
    </row>
    <row r="86" spans="1:29" ht="12" customHeight="1">
      <c r="A86" s="61" t="s">
        <v>57</v>
      </c>
      <c r="B86" s="36">
        <v>2155000</v>
      </c>
      <c r="C86" s="36">
        <v>2253100</v>
      </c>
      <c r="D86" s="36">
        <v>4408100</v>
      </c>
      <c r="E86" s="37">
        <v>24100</v>
      </c>
      <c r="F86" s="38">
        <v>0.55000000000000004</v>
      </c>
      <c r="G86" s="39">
        <v>95.6</v>
      </c>
      <c r="H86" s="36">
        <v>2150600</v>
      </c>
      <c r="I86" s="36">
        <v>2247900</v>
      </c>
      <c r="J86" s="36">
        <v>4398500</v>
      </c>
      <c r="K86" s="58"/>
      <c r="L86" s="58"/>
      <c r="M86" s="58"/>
    </row>
    <row r="87" spans="1:29" ht="12" customHeight="1">
      <c r="A87" s="61" t="s">
        <v>72</v>
      </c>
      <c r="B87" s="36">
        <v>2172200</v>
      </c>
      <c r="C87" s="36">
        <v>2269900</v>
      </c>
      <c r="D87" s="36">
        <v>4442100</v>
      </c>
      <c r="E87" s="37">
        <v>34000</v>
      </c>
      <c r="F87" s="38">
        <v>0.77</v>
      </c>
      <c r="G87" s="39">
        <v>95.69</v>
      </c>
      <c r="H87" s="36">
        <v>2163700</v>
      </c>
      <c r="I87" s="36">
        <v>2261900</v>
      </c>
      <c r="J87" s="36">
        <v>4425600</v>
      </c>
      <c r="K87" s="58"/>
      <c r="L87" s="58"/>
      <c r="M87" s="58"/>
      <c r="U87" s="58"/>
      <c r="V87" s="58"/>
      <c r="W87" s="58"/>
      <c r="X87" s="58"/>
      <c r="Y87" s="58"/>
      <c r="Z87" s="58"/>
      <c r="AA87" s="58"/>
      <c r="AB87" s="58"/>
      <c r="AC87" s="58"/>
    </row>
    <row r="88" spans="1:29" ht="12" customHeight="1">
      <c r="A88" s="61" t="s">
        <v>100</v>
      </c>
      <c r="B88" s="36">
        <v>2215700</v>
      </c>
      <c r="C88" s="36">
        <v>2300800</v>
      </c>
      <c r="D88" s="36">
        <v>4516500</v>
      </c>
      <c r="E88" s="37">
        <v>74400</v>
      </c>
      <c r="F88" s="38">
        <v>1.67</v>
      </c>
      <c r="G88" s="39">
        <v>96.3</v>
      </c>
      <c r="H88" s="36">
        <v>2193500</v>
      </c>
      <c r="I88" s="36">
        <v>2285400</v>
      </c>
      <c r="J88" s="36">
        <v>4478900</v>
      </c>
      <c r="K88" s="58"/>
      <c r="L88" s="58"/>
      <c r="M88" s="58"/>
      <c r="U88" s="58"/>
      <c r="V88" s="58"/>
      <c r="W88" s="58"/>
      <c r="X88" s="58"/>
      <c r="Y88" s="58"/>
      <c r="Z88" s="58"/>
      <c r="AA88" s="58"/>
      <c r="AB88" s="58"/>
      <c r="AC88" s="58"/>
    </row>
    <row r="89" spans="1:29" ht="12" customHeight="1">
      <c r="A89" s="61" t="s">
        <v>101</v>
      </c>
      <c r="B89" s="36">
        <v>2270100</v>
      </c>
      <c r="C89" s="36">
        <v>2339300</v>
      </c>
      <c r="D89" s="36">
        <v>4609400</v>
      </c>
      <c r="E89" s="37">
        <v>92900</v>
      </c>
      <c r="F89" s="38">
        <v>2.06</v>
      </c>
      <c r="G89" s="39">
        <v>97.04</v>
      </c>
      <c r="H89" s="36">
        <v>2244100</v>
      </c>
      <c r="I89" s="36">
        <v>2320800</v>
      </c>
      <c r="J89" s="36">
        <v>4564900</v>
      </c>
      <c r="K89" s="58"/>
      <c r="L89" s="58"/>
      <c r="M89" s="58"/>
      <c r="U89" s="58"/>
      <c r="V89" s="58"/>
      <c r="W89" s="58"/>
      <c r="X89" s="58"/>
      <c r="Y89" s="58"/>
      <c r="Z89" s="58"/>
      <c r="AA89" s="58"/>
      <c r="AB89" s="58"/>
      <c r="AC89" s="58"/>
    </row>
    <row r="90" spans="1:29" ht="12" customHeight="1">
      <c r="A90" s="61" t="s">
        <v>102</v>
      </c>
      <c r="B90" s="36">
        <v>2328500</v>
      </c>
      <c r="C90" s="36">
        <v>2385600</v>
      </c>
      <c r="D90" s="36">
        <v>4714100</v>
      </c>
      <c r="E90" s="37">
        <v>104700</v>
      </c>
      <c r="F90" s="38">
        <v>2.27</v>
      </c>
      <c r="G90" s="39">
        <v>97.61</v>
      </c>
      <c r="H90" s="36">
        <v>2300700</v>
      </c>
      <c r="I90" s="36">
        <v>2363500</v>
      </c>
      <c r="J90" s="36">
        <v>4664200</v>
      </c>
      <c r="K90" s="58"/>
      <c r="L90" s="58"/>
      <c r="M90" s="58"/>
      <c r="U90" s="58"/>
      <c r="V90" s="58"/>
      <c r="W90" s="58"/>
      <c r="X90" s="58"/>
      <c r="Y90" s="58"/>
      <c r="Z90" s="58"/>
      <c r="AA90" s="58"/>
      <c r="AB90" s="58"/>
      <c r="AC90" s="58"/>
    </row>
    <row r="91" spans="1:29" ht="12" customHeight="1">
      <c r="A91" s="61" t="s">
        <v>103</v>
      </c>
      <c r="B91" s="36">
        <v>2382700</v>
      </c>
      <c r="C91" s="36">
        <v>2430900</v>
      </c>
      <c r="D91" s="36">
        <v>4813600</v>
      </c>
      <c r="E91" s="37">
        <v>99500</v>
      </c>
      <c r="F91" s="38">
        <v>2.11</v>
      </c>
      <c r="G91" s="39">
        <v>98.01</v>
      </c>
      <c r="H91" s="36">
        <v>2357300</v>
      </c>
      <c r="I91" s="36">
        <v>2410100</v>
      </c>
      <c r="J91" s="36">
        <v>4767300</v>
      </c>
      <c r="K91" s="58"/>
      <c r="L91" s="58"/>
      <c r="M91" s="58"/>
      <c r="U91" s="58"/>
      <c r="V91" s="58"/>
      <c r="W91" s="58"/>
      <c r="X91" s="58"/>
      <c r="Y91" s="58"/>
      <c r="Z91" s="58"/>
      <c r="AA91" s="58"/>
      <c r="AB91" s="58"/>
      <c r="AC91" s="58"/>
    </row>
    <row r="92" spans="1:29" ht="12" customHeight="1">
      <c r="A92" s="61" t="s">
        <v>104</v>
      </c>
      <c r="B92" s="36">
        <v>2430200</v>
      </c>
      <c r="C92" s="36">
        <v>2470500</v>
      </c>
      <c r="D92" s="36">
        <v>4900600</v>
      </c>
      <c r="E92" s="37">
        <v>87000</v>
      </c>
      <c r="F92" s="38">
        <v>1.81</v>
      </c>
      <c r="G92" s="39">
        <v>98.37</v>
      </c>
      <c r="H92" s="36">
        <v>2407700</v>
      </c>
      <c r="I92" s="36">
        <v>2452100</v>
      </c>
      <c r="J92" s="36">
        <v>4859800</v>
      </c>
      <c r="K92" s="58"/>
      <c r="L92" s="58"/>
      <c r="M92" s="58"/>
      <c r="U92" s="58"/>
      <c r="V92" s="58"/>
      <c r="W92" s="58"/>
      <c r="X92" s="58"/>
      <c r="Y92" s="58"/>
      <c r="Z92" s="58"/>
      <c r="AA92" s="58"/>
      <c r="AB92" s="58"/>
      <c r="AC92" s="58"/>
    </row>
    <row r="93" spans="1:29" ht="12" customHeight="1">
      <c r="A93" s="61" t="s">
        <v>170</v>
      </c>
      <c r="B93" s="36">
        <v>2467000</v>
      </c>
      <c r="C93" s="36">
        <v>2503300</v>
      </c>
      <c r="D93" s="36">
        <v>4970300</v>
      </c>
      <c r="E93" s="37">
        <v>69700</v>
      </c>
      <c r="F93" s="38">
        <v>1.42</v>
      </c>
      <c r="G93" s="39">
        <v>98.6</v>
      </c>
      <c r="H93" s="36">
        <v>2449500</v>
      </c>
      <c r="I93" s="36">
        <v>2488000</v>
      </c>
      <c r="J93" s="36">
        <v>4937500</v>
      </c>
      <c r="K93" s="58"/>
      <c r="L93" s="58"/>
      <c r="M93" s="58"/>
      <c r="U93" s="58"/>
      <c r="V93" s="58"/>
      <c r="W93" s="58"/>
      <c r="X93" s="58"/>
      <c r="Y93" s="58"/>
      <c r="Z93" s="58"/>
      <c r="AA93" s="58"/>
      <c r="AB93" s="58"/>
      <c r="AC93" s="58"/>
    </row>
    <row r="94" spans="1:29" ht="12" customHeight="1">
      <c r="A94" s="61" t="s">
        <v>171</v>
      </c>
      <c r="B94" s="36">
        <v>2519000</v>
      </c>
      <c r="C94" s="36">
        <v>2553400</v>
      </c>
      <c r="D94" s="36">
        <v>5072400</v>
      </c>
      <c r="E94" s="37">
        <v>102100</v>
      </c>
      <c r="F94" s="38">
        <v>2.0499999999999998</v>
      </c>
      <c r="G94" s="39">
        <v>98.7</v>
      </c>
      <c r="H94" s="36">
        <v>2496500</v>
      </c>
      <c r="I94" s="36">
        <v>2531400</v>
      </c>
      <c r="J94" s="36">
        <v>5027900</v>
      </c>
      <c r="K94" s="58"/>
      <c r="L94" s="58"/>
      <c r="M94" s="58"/>
      <c r="U94" s="58"/>
      <c r="V94" s="58"/>
      <c r="W94" s="58"/>
      <c r="X94" s="58"/>
      <c r="Y94" s="58"/>
      <c r="Z94" s="58"/>
      <c r="AA94" s="58"/>
      <c r="AB94" s="58"/>
      <c r="AC94" s="58"/>
    </row>
    <row r="95" spans="1:29" ht="12" customHeight="1">
      <c r="A95" s="61" t="s">
        <v>172</v>
      </c>
      <c r="B95" s="36">
        <v>2524700</v>
      </c>
      <c r="C95" s="36">
        <v>2559800</v>
      </c>
      <c r="D95" s="36">
        <v>5084600</v>
      </c>
      <c r="E95" s="37">
        <v>12100</v>
      </c>
      <c r="F95" s="38">
        <v>0.24</v>
      </c>
      <c r="G95" s="39">
        <v>98.6</v>
      </c>
      <c r="H95" s="36">
        <v>2522900</v>
      </c>
      <c r="I95" s="36">
        <v>2557500</v>
      </c>
      <c r="J95" s="36">
        <v>5080500</v>
      </c>
      <c r="U95" s="58"/>
      <c r="V95" s="58"/>
      <c r="W95" s="58"/>
      <c r="X95" s="58"/>
      <c r="Y95" s="58"/>
      <c r="Z95" s="58"/>
      <c r="AA95" s="58"/>
      <c r="AB95" s="58"/>
      <c r="AC95" s="58"/>
    </row>
    <row r="96" spans="1:29" ht="12" customHeight="1">
      <c r="A96" s="61" t="s">
        <v>173</v>
      </c>
      <c r="B96" s="36">
        <v>2523100</v>
      </c>
      <c r="C96" s="36">
        <v>2558600</v>
      </c>
      <c r="D96" s="36">
        <v>5081700</v>
      </c>
      <c r="E96" s="37">
        <v>-2800</v>
      </c>
      <c r="F96" s="38">
        <v>-0.06</v>
      </c>
      <c r="G96" s="39">
        <v>98.6</v>
      </c>
      <c r="H96" s="36">
        <v>2524400</v>
      </c>
      <c r="I96" s="36">
        <v>2559700</v>
      </c>
      <c r="J96" s="36">
        <v>5084100</v>
      </c>
      <c r="U96" s="58"/>
      <c r="V96" s="58"/>
      <c r="W96" s="58"/>
      <c r="X96" s="58"/>
      <c r="Y96" s="58"/>
      <c r="Z96" s="58"/>
      <c r="AA96" s="58"/>
      <c r="AB96" s="58"/>
      <c r="AC96" s="58"/>
    </row>
    <row r="97" spans="1:29" ht="12" customHeight="1">
      <c r="A97" s="61" t="s">
        <v>174</v>
      </c>
      <c r="B97" s="36">
        <v>2590000</v>
      </c>
      <c r="C97" s="36">
        <v>2610000</v>
      </c>
      <c r="D97" s="36">
        <v>5200000</v>
      </c>
      <c r="E97" s="37">
        <v>118300</v>
      </c>
      <c r="F97" s="38">
        <v>2.33</v>
      </c>
      <c r="G97" s="39">
        <v>99.2</v>
      </c>
      <c r="H97" s="36">
        <v>2549600</v>
      </c>
      <c r="I97" s="36">
        <v>2580700</v>
      </c>
      <c r="J97" s="36">
        <v>5130300</v>
      </c>
      <c r="U97" s="58"/>
      <c r="V97" s="58"/>
      <c r="W97" s="58"/>
      <c r="X97" s="58"/>
      <c r="Y97" s="58"/>
      <c r="Z97" s="58"/>
      <c r="AA97" s="58"/>
      <c r="AB97" s="58"/>
      <c r="AC97" s="58"/>
    </row>
    <row r="98" spans="1:29" ht="12" customHeight="1">
      <c r="A98" s="62" t="s">
        <v>175</v>
      </c>
      <c r="B98" s="59">
        <v>2632900</v>
      </c>
      <c r="C98" s="59">
        <v>2654500</v>
      </c>
      <c r="D98" s="59">
        <v>5287500</v>
      </c>
      <c r="E98" s="55">
        <v>87400</v>
      </c>
      <c r="F98" s="56">
        <v>1.68</v>
      </c>
      <c r="G98" s="60">
        <v>99.2</v>
      </c>
      <c r="H98" s="59">
        <v>2618700</v>
      </c>
      <c r="I98" s="59">
        <v>2638200</v>
      </c>
      <c r="J98" s="59">
        <v>5256900</v>
      </c>
      <c r="U98" s="58"/>
      <c r="V98" s="58"/>
      <c r="W98" s="58"/>
      <c r="X98" s="58"/>
      <c r="Y98" s="58"/>
      <c r="Z98" s="58"/>
      <c r="AA98" s="58"/>
      <c r="AB98" s="58"/>
      <c r="AC98" s="58"/>
    </row>
    <row r="99" spans="1:29" ht="6" customHeight="1">
      <c r="A99" s="3"/>
    </row>
    <row r="100" spans="1:29" ht="12" customHeight="1">
      <c r="A100" s="3" t="s">
        <v>58</v>
      </c>
    </row>
    <row r="101" spans="1:29" ht="46.5" customHeight="1">
      <c r="A101" s="83" t="s">
        <v>229</v>
      </c>
      <c r="B101" s="83"/>
      <c r="C101" s="83"/>
      <c r="D101" s="83"/>
      <c r="E101" s="83"/>
      <c r="F101" s="83"/>
      <c r="G101" s="83"/>
      <c r="H101" s="83"/>
      <c r="I101" s="83"/>
      <c r="J101" s="83"/>
    </row>
    <row r="102" spans="1:29" ht="36" customHeight="1">
      <c r="A102" s="83" t="s">
        <v>59</v>
      </c>
      <c r="B102" s="83"/>
      <c r="C102" s="83"/>
      <c r="D102" s="83"/>
      <c r="E102" s="83"/>
      <c r="F102" s="83"/>
      <c r="G102" s="83"/>
      <c r="H102" s="83"/>
      <c r="I102" s="83"/>
      <c r="J102" s="83"/>
    </row>
    <row r="103" spans="1:29" ht="6" customHeight="1">
      <c r="A103" s="3" t="s">
        <v>0</v>
      </c>
    </row>
    <row r="104" spans="1:29" ht="12" customHeight="1">
      <c r="A104" s="7" t="s">
        <v>60</v>
      </c>
    </row>
    <row r="105" spans="1:29" ht="24" customHeight="1">
      <c r="A105" s="83" t="s">
        <v>230</v>
      </c>
      <c r="B105" s="83"/>
      <c r="C105" s="83"/>
      <c r="D105" s="83"/>
      <c r="E105" s="83"/>
      <c r="F105" s="83"/>
      <c r="G105" s="83"/>
      <c r="H105" s="83"/>
      <c r="I105" s="83"/>
      <c r="J105" s="83"/>
    </row>
    <row r="106" spans="1:29" ht="12" customHeight="1">
      <c r="A106" s="82" t="s">
        <v>61</v>
      </c>
      <c r="B106" s="82"/>
      <c r="C106" s="82"/>
      <c r="D106" s="82"/>
      <c r="E106" s="82"/>
      <c r="F106" s="82"/>
      <c r="G106" s="82"/>
      <c r="H106" s="82"/>
      <c r="I106" s="82"/>
      <c r="J106" s="82"/>
    </row>
    <row r="107" spans="1:29" ht="12" customHeight="1">
      <c r="A107" s="82" t="s">
        <v>62</v>
      </c>
      <c r="B107" s="82"/>
      <c r="C107" s="82"/>
      <c r="D107" s="82"/>
      <c r="E107" s="82"/>
      <c r="F107" s="82"/>
      <c r="G107" s="82"/>
      <c r="H107" s="82"/>
      <c r="I107" s="82"/>
      <c r="J107" s="82"/>
    </row>
    <row r="108" spans="1:29" ht="12" customHeight="1">
      <c r="A108" s="82" t="s">
        <v>63</v>
      </c>
      <c r="B108" s="82"/>
      <c r="C108" s="82"/>
      <c r="D108" s="82"/>
      <c r="E108" s="82"/>
      <c r="F108" s="82"/>
      <c r="G108" s="82"/>
      <c r="H108" s="82"/>
      <c r="I108" s="82"/>
      <c r="J108" s="82"/>
    </row>
    <row r="109" spans="1:29" ht="6" customHeight="1">
      <c r="A109" s="3" t="s">
        <v>0</v>
      </c>
    </row>
    <row r="110" spans="1:29" ht="12" customHeight="1">
      <c r="A110" s="7" t="s">
        <v>64</v>
      </c>
    </row>
    <row r="111" spans="1:29" ht="12" customHeight="1">
      <c r="A111" s="3" t="s">
        <v>73</v>
      </c>
    </row>
    <row r="112" spans="1:29" ht="6" customHeight="1">
      <c r="A112" s="3" t="s">
        <v>0</v>
      </c>
    </row>
    <row r="113" spans="1:1" ht="12" customHeight="1">
      <c r="A113" s="3" t="s">
        <v>161</v>
      </c>
    </row>
  </sheetData>
  <mergeCells count="13">
    <mergeCell ref="A108:J108"/>
    <mergeCell ref="A101:J101"/>
    <mergeCell ref="A102:J102"/>
    <mergeCell ref="A105:J105"/>
    <mergeCell ref="A106:J106"/>
    <mergeCell ref="A107:J107"/>
    <mergeCell ref="A9:J9"/>
    <mergeCell ref="A64:J64"/>
    <mergeCell ref="A7:A8"/>
    <mergeCell ref="B7:D7"/>
    <mergeCell ref="E7:F7"/>
    <mergeCell ref="G7:G8"/>
    <mergeCell ref="H7:J7"/>
  </mergeCells>
  <phoneticPr fontId="22" type="noConversion"/>
  <pageMargins left="0.51181102362204722" right="0.51181102362204722" top="0.74803149606299213" bottom="0.74803149606299213" header="0.31496062992125984" footer="0.31496062992125984"/>
  <pageSetup paperSize="9" scale="89" orientation="portrait" r:id="rId1"/>
  <rowBreaks count="1" manualBreakCount="1">
    <brk id="58"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N87"/>
  <sheetViews>
    <sheetView zoomScaleNormal="100" workbookViewId="0">
      <pane ySplit="7" topLeftCell="A8" activePane="bottomLeft" state="frozen"/>
      <selection activeCell="H14" sqref="H14"/>
      <selection pane="bottomLeft"/>
    </sheetView>
  </sheetViews>
  <sheetFormatPr defaultRowHeight="14.25"/>
  <cols>
    <col min="1" max="1" width="10" customWidth="1"/>
    <col min="2" max="5" width="10.73046875" customWidth="1"/>
  </cols>
  <sheetData>
    <row r="1" spans="1:5">
      <c r="A1" s="1" t="s">
        <v>74</v>
      </c>
    </row>
    <row r="2" spans="1:5" ht="6" customHeight="1">
      <c r="A2" s="3" t="s">
        <v>0</v>
      </c>
    </row>
    <row r="3" spans="1:5">
      <c r="A3" s="4" t="s">
        <v>75</v>
      </c>
    </row>
    <row r="4" spans="1:5">
      <c r="A4" s="1" t="s">
        <v>176</v>
      </c>
    </row>
    <row r="5" spans="1:5">
      <c r="A5" s="1" t="s">
        <v>67</v>
      </c>
    </row>
    <row r="6" spans="1:5" ht="6" customHeight="1">
      <c r="A6" s="3"/>
    </row>
    <row r="7" spans="1:5" ht="36" customHeight="1">
      <c r="A7" s="40" t="s">
        <v>25</v>
      </c>
      <c r="B7" s="8" t="s">
        <v>76</v>
      </c>
      <c r="C7" s="8" t="s">
        <v>77</v>
      </c>
      <c r="D7" s="8" t="s">
        <v>78</v>
      </c>
      <c r="E7" s="8" t="s">
        <v>79</v>
      </c>
    </row>
    <row r="8" spans="1:5">
      <c r="A8" s="78" t="s">
        <v>80</v>
      </c>
      <c r="B8" s="79"/>
      <c r="C8" s="79"/>
      <c r="D8" s="79"/>
      <c r="E8" s="79"/>
    </row>
    <row r="9" spans="1:5">
      <c r="A9" s="63">
        <v>1961</v>
      </c>
      <c r="B9" s="37">
        <v>42700</v>
      </c>
      <c r="C9" s="37">
        <v>6500</v>
      </c>
      <c r="D9" s="37">
        <v>-1200</v>
      </c>
      <c r="E9" s="37">
        <v>47900</v>
      </c>
    </row>
    <row r="10" spans="1:5" ht="12" customHeight="1">
      <c r="A10" s="63">
        <v>1962</v>
      </c>
      <c r="B10" s="37">
        <v>44500</v>
      </c>
      <c r="C10" s="37">
        <v>19100</v>
      </c>
      <c r="D10" s="37">
        <v>-1400</v>
      </c>
      <c r="E10" s="37">
        <v>62300</v>
      </c>
    </row>
    <row r="11" spans="1:5" ht="12" customHeight="1">
      <c r="A11" s="63">
        <v>1963</v>
      </c>
      <c r="B11" s="37">
        <v>41700</v>
      </c>
      <c r="C11" s="37">
        <v>12200</v>
      </c>
      <c r="D11" s="37">
        <v>-4100</v>
      </c>
      <c r="E11" s="37">
        <v>49800</v>
      </c>
    </row>
    <row r="12" spans="1:5" ht="12" customHeight="1">
      <c r="A12" s="63">
        <v>1964</v>
      </c>
      <c r="B12" s="37">
        <v>40400</v>
      </c>
      <c r="C12" s="37">
        <v>14300</v>
      </c>
      <c r="D12" s="37">
        <v>-1100</v>
      </c>
      <c r="E12" s="37">
        <v>53600</v>
      </c>
    </row>
    <row r="13" spans="1:5" ht="12" customHeight="1">
      <c r="A13" s="63">
        <v>1965</v>
      </c>
      <c r="B13" s="37">
        <v>38500</v>
      </c>
      <c r="C13" s="37">
        <v>8900</v>
      </c>
      <c r="D13" s="37">
        <v>-4400</v>
      </c>
      <c r="E13" s="37">
        <v>43000</v>
      </c>
    </row>
    <row r="14" spans="1:5" ht="12" customHeight="1">
      <c r="A14" s="63">
        <v>1966</v>
      </c>
      <c r="B14" s="37">
        <v>36400</v>
      </c>
      <c r="C14" s="37">
        <v>12300</v>
      </c>
      <c r="D14" s="37">
        <v>-1200</v>
      </c>
      <c r="E14" s="37">
        <v>47500</v>
      </c>
    </row>
    <row r="15" spans="1:5" ht="12" customHeight="1">
      <c r="A15" s="63">
        <v>1967</v>
      </c>
      <c r="B15" s="37">
        <v>37400</v>
      </c>
      <c r="C15" s="37">
        <v>12500</v>
      </c>
      <c r="D15" s="37">
        <v>-1600</v>
      </c>
      <c r="E15" s="37">
        <v>48200</v>
      </c>
    </row>
    <row r="16" spans="1:5" ht="12" customHeight="1">
      <c r="A16" s="63">
        <v>1968</v>
      </c>
      <c r="B16" s="37">
        <v>37800</v>
      </c>
      <c r="C16" s="37">
        <v>-12000</v>
      </c>
      <c r="D16" s="37">
        <v>-1800</v>
      </c>
      <c r="E16" s="37">
        <v>24000</v>
      </c>
    </row>
    <row r="17" spans="1:5" ht="12" customHeight="1">
      <c r="A17" s="63">
        <v>1969</v>
      </c>
      <c r="B17" s="37">
        <v>37800</v>
      </c>
      <c r="C17" s="37">
        <v>-10500</v>
      </c>
      <c r="D17" s="37">
        <v>-2600</v>
      </c>
      <c r="E17" s="37">
        <v>24700</v>
      </c>
    </row>
    <row r="18" spans="1:5" ht="12" customHeight="1">
      <c r="A18" s="63">
        <v>1970</v>
      </c>
      <c r="B18" s="37">
        <v>37500</v>
      </c>
      <c r="C18" s="37">
        <v>-1900</v>
      </c>
      <c r="D18" s="37">
        <v>2300</v>
      </c>
      <c r="E18" s="37">
        <v>37900</v>
      </c>
    </row>
    <row r="19" spans="1:5" ht="12" customHeight="1">
      <c r="A19" s="63">
        <v>1971</v>
      </c>
      <c r="B19" s="37">
        <v>39000</v>
      </c>
      <c r="C19" s="37">
        <v>5300</v>
      </c>
      <c r="D19" s="37">
        <v>-2000</v>
      </c>
      <c r="E19" s="37">
        <v>42300</v>
      </c>
    </row>
    <row r="20" spans="1:5" ht="12" customHeight="1">
      <c r="A20" s="63">
        <v>1972</v>
      </c>
      <c r="B20" s="37">
        <v>39800</v>
      </c>
      <c r="C20" s="37">
        <v>11800</v>
      </c>
      <c r="D20" s="37">
        <v>-700</v>
      </c>
      <c r="E20" s="37">
        <v>50900</v>
      </c>
    </row>
    <row r="21" spans="1:5" ht="12" customHeight="1">
      <c r="A21" s="63">
        <v>1973</v>
      </c>
      <c r="B21" s="37">
        <v>36500</v>
      </c>
      <c r="C21" s="37">
        <v>20900</v>
      </c>
      <c r="D21" s="37">
        <v>0</v>
      </c>
      <c r="E21" s="37">
        <v>57400</v>
      </c>
    </row>
    <row r="22" spans="1:5" ht="12" customHeight="1">
      <c r="A22" s="63">
        <v>1974</v>
      </c>
      <c r="B22" s="37">
        <v>35100</v>
      </c>
      <c r="C22" s="37">
        <v>27600</v>
      </c>
      <c r="D22" s="37">
        <v>-400</v>
      </c>
      <c r="E22" s="37">
        <v>62400</v>
      </c>
    </row>
    <row r="23" spans="1:5" ht="12" customHeight="1">
      <c r="A23" s="63">
        <v>1975</v>
      </c>
      <c r="B23" s="37">
        <v>32700</v>
      </c>
      <c r="C23" s="37">
        <v>27200</v>
      </c>
      <c r="D23" s="37">
        <v>-600</v>
      </c>
      <c r="E23" s="37">
        <v>59400</v>
      </c>
    </row>
    <row r="24" spans="1:5" ht="12" customHeight="1">
      <c r="A24" s="63">
        <v>1976</v>
      </c>
      <c r="B24" s="37">
        <v>30100</v>
      </c>
      <c r="C24" s="37">
        <v>-5000</v>
      </c>
      <c r="D24" s="37">
        <v>2300</v>
      </c>
      <c r="E24" s="37">
        <v>27400</v>
      </c>
    </row>
    <row r="25" spans="1:5" ht="12" customHeight="1">
      <c r="A25" s="63">
        <v>1977</v>
      </c>
      <c r="B25" s="37">
        <v>29200</v>
      </c>
      <c r="C25" s="37">
        <v>-20000</v>
      </c>
      <c r="D25" s="37">
        <v>500</v>
      </c>
      <c r="E25" s="37">
        <v>9700</v>
      </c>
    </row>
    <row r="26" spans="1:5" ht="12" customHeight="1">
      <c r="A26" s="63">
        <v>1978</v>
      </c>
      <c r="B26" s="37">
        <v>27000</v>
      </c>
      <c r="C26" s="37">
        <v>-25900</v>
      </c>
      <c r="D26" s="37">
        <v>-100</v>
      </c>
      <c r="E26" s="37">
        <v>1000</v>
      </c>
    </row>
    <row r="27" spans="1:5" ht="12" customHeight="1">
      <c r="A27" s="63">
        <v>1979</v>
      </c>
      <c r="B27" s="37">
        <v>27100</v>
      </c>
      <c r="C27" s="37">
        <v>-37100</v>
      </c>
      <c r="D27" s="37">
        <v>-2100</v>
      </c>
      <c r="E27" s="37">
        <v>-12200</v>
      </c>
    </row>
    <row r="28" spans="1:5" ht="12" customHeight="1">
      <c r="A28" s="63">
        <v>1980</v>
      </c>
      <c r="B28" s="37">
        <v>25600</v>
      </c>
      <c r="C28" s="37">
        <v>-20700</v>
      </c>
      <c r="D28" s="37">
        <v>-1000</v>
      </c>
      <c r="E28" s="37">
        <v>3900</v>
      </c>
    </row>
    <row r="29" spans="1:5" ht="12" customHeight="1">
      <c r="A29" s="63">
        <v>1981</v>
      </c>
      <c r="B29" s="37">
        <v>25000</v>
      </c>
      <c r="C29" s="37">
        <v>-12100</v>
      </c>
      <c r="D29" s="37">
        <v>-800</v>
      </c>
      <c r="E29" s="37">
        <v>12000</v>
      </c>
    </row>
    <row r="30" spans="1:5" ht="12" customHeight="1">
      <c r="A30" s="63">
        <v>1982</v>
      </c>
      <c r="B30" s="37">
        <v>24400</v>
      </c>
      <c r="C30" s="37">
        <v>9100</v>
      </c>
      <c r="D30" s="37">
        <v>-2300</v>
      </c>
      <c r="E30" s="37">
        <v>31200</v>
      </c>
    </row>
    <row r="31" spans="1:5" ht="12" customHeight="1">
      <c r="A31" s="63">
        <v>1983</v>
      </c>
      <c r="B31" s="37">
        <v>24400</v>
      </c>
      <c r="C31" s="37">
        <v>19900</v>
      </c>
      <c r="D31" s="37">
        <v>-1100</v>
      </c>
      <c r="E31" s="37">
        <v>43200</v>
      </c>
    </row>
    <row r="32" spans="1:5" ht="12" customHeight="1">
      <c r="A32" s="63">
        <v>1984</v>
      </c>
      <c r="B32" s="37">
        <v>24800</v>
      </c>
      <c r="C32" s="37">
        <v>4700</v>
      </c>
      <c r="D32" s="37">
        <v>-1800</v>
      </c>
      <c r="E32" s="37">
        <v>27800</v>
      </c>
    </row>
    <row r="33" spans="1:5" ht="12" customHeight="1">
      <c r="A33" s="63">
        <v>1985</v>
      </c>
      <c r="B33" s="37">
        <v>25800</v>
      </c>
      <c r="C33" s="37">
        <v>-3900</v>
      </c>
      <c r="D33" s="37">
        <v>-1800</v>
      </c>
      <c r="E33" s="37">
        <v>20000</v>
      </c>
    </row>
    <row r="34" spans="1:5" ht="12" customHeight="1">
      <c r="A34" s="63">
        <v>1986</v>
      </c>
      <c r="B34" s="37">
        <v>25200</v>
      </c>
      <c r="C34" s="37">
        <v>-23900</v>
      </c>
      <c r="D34" s="37">
        <v>-2100</v>
      </c>
      <c r="E34" s="37">
        <v>-800</v>
      </c>
    </row>
    <row r="35" spans="1:5" ht="12" customHeight="1">
      <c r="A35" s="63">
        <v>1987</v>
      </c>
      <c r="B35" s="37">
        <v>26500</v>
      </c>
      <c r="C35" s="37">
        <v>5400</v>
      </c>
      <c r="D35" s="37">
        <v>-3800</v>
      </c>
      <c r="E35" s="37">
        <v>28100</v>
      </c>
    </row>
    <row r="36" spans="1:5" ht="12" customHeight="1">
      <c r="A36" s="63">
        <v>1988</v>
      </c>
      <c r="B36" s="37">
        <v>29200</v>
      </c>
      <c r="C36" s="37">
        <v>-16300</v>
      </c>
      <c r="D36" s="37">
        <v>-3900</v>
      </c>
      <c r="E36" s="37">
        <v>9000</v>
      </c>
    </row>
    <row r="37" spans="1:5" ht="12" customHeight="1">
      <c r="A37" s="63">
        <v>1989</v>
      </c>
      <c r="B37" s="37">
        <v>30300</v>
      </c>
      <c r="C37" s="37">
        <v>-10600</v>
      </c>
      <c r="D37" s="37">
        <v>-4000</v>
      </c>
      <c r="E37" s="37">
        <v>15800</v>
      </c>
    </row>
    <row r="38" spans="1:5" ht="12" customHeight="1">
      <c r="A38" s="63">
        <v>1990</v>
      </c>
      <c r="B38" s="37">
        <v>32400</v>
      </c>
      <c r="C38" s="37">
        <v>2000</v>
      </c>
      <c r="D38" s="37">
        <v>-3800</v>
      </c>
      <c r="E38" s="37">
        <v>30600</v>
      </c>
    </row>
    <row r="39" spans="1:5" ht="12" customHeight="1">
      <c r="A39" s="63">
        <v>1991</v>
      </c>
      <c r="B39" s="37">
        <v>33900</v>
      </c>
      <c r="C39" s="37">
        <v>18900</v>
      </c>
      <c r="D39" s="9" t="s">
        <v>71</v>
      </c>
      <c r="E39" s="37">
        <v>50300</v>
      </c>
    </row>
    <row r="40" spans="1:5" ht="12" customHeight="1">
      <c r="A40" s="78" t="s">
        <v>81</v>
      </c>
      <c r="B40" s="79"/>
      <c r="C40" s="79"/>
      <c r="D40" s="79"/>
      <c r="E40" s="79"/>
    </row>
    <row r="41" spans="1:5" ht="12" customHeight="1">
      <c r="A41" s="63" t="s">
        <v>37</v>
      </c>
      <c r="B41" s="37">
        <v>33000</v>
      </c>
      <c r="C41" s="37">
        <v>3600</v>
      </c>
      <c r="D41" s="9" t="s">
        <v>71</v>
      </c>
      <c r="E41" s="37">
        <v>36600</v>
      </c>
    </row>
    <row r="42" spans="1:5" ht="12" customHeight="1">
      <c r="A42" s="63" t="s">
        <v>38</v>
      </c>
      <c r="B42" s="37">
        <v>31800</v>
      </c>
      <c r="C42" s="37">
        <v>8700</v>
      </c>
      <c r="D42" s="9" t="s">
        <v>71</v>
      </c>
      <c r="E42" s="37">
        <v>40500</v>
      </c>
    </row>
    <row r="43" spans="1:5" ht="12" customHeight="1">
      <c r="A43" s="63" t="s">
        <v>39</v>
      </c>
      <c r="B43" s="37">
        <v>31000</v>
      </c>
      <c r="C43" s="37">
        <v>16800</v>
      </c>
      <c r="D43" s="9" t="s">
        <v>71</v>
      </c>
      <c r="E43" s="37">
        <v>47800</v>
      </c>
    </row>
    <row r="44" spans="1:5" ht="12" customHeight="1">
      <c r="A44" s="63" t="s">
        <v>40</v>
      </c>
      <c r="B44" s="37">
        <v>30700</v>
      </c>
      <c r="C44" s="37">
        <v>22700</v>
      </c>
      <c r="D44" s="9" t="s">
        <v>71</v>
      </c>
      <c r="E44" s="37">
        <v>53400</v>
      </c>
    </row>
    <row r="45" spans="1:5" ht="12" customHeight="1">
      <c r="A45" s="63" t="s">
        <v>41</v>
      </c>
      <c r="B45" s="37">
        <v>29100</v>
      </c>
      <c r="C45" s="37">
        <v>29500</v>
      </c>
      <c r="D45" s="9" t="s">
        <v>71</v>
      </c>
      <c r="E45" s="37">
        <v>58600</v>
      </c>
    </row>
    <row r="46" spans="1:5" ht="12" customHeight="1">
      <c r="A46" s="63" t="s">
        <v>42</v>
      </c>
      <c r="B46" s="37">
        <v>29800</v>
      </c>
      <c r="C46" s="37">
        <v>16800</v>
      </c>
      <c r="D46" s="37">
        <v>2800</v>
      </c>
      <c r="E46" s="37">
        <v>49300</v>
      </c>
    </row>
    <row r="47" spans="1:5" ht="12" customHeight="1">
      <c r="A47" s="63" t="s">
        <v>43</v>
      </c>
      <c r="B47" s="37">
        <v>30500</v>
      </c>
      <c r="C47" s="37">
        <v>500</v>
      </c>
      <c r="D47" s="37">
        <v>2800</v>
      </c>
      <c r="E47" s="37">
        <v>33700</v>
      </c>
    </row>
    <row r="48" spans="1:5" ht="12" customHeight="1">
      <c r="A48" s="63" t="s">
        <v>44</v>
      </c>
      <c r="B48" s="37">
        <v>28700</v>
      </c>
      <c r="C48" s="37">
        <v>-11400</v>
      </c>
      <c r="D48" s="37">
        <v>2800</v>
      </c>
      <c r="E48" s="37">
        <v>20100</v>
      </c>
    </row>
    <row r="49" spans="1:14" ht="12" customHeight="1">
      <c r="A49" s="63" t="s">
        <v>45</v>
      </c>
      <c r="B49" s="37">
        <v>29600</v>
      </c>
      <c r="C49" s="37">
        <v>-9800</v>
      </c>
      <c r="D49" s="37">
        <v>2800</v>
      </c>
      <c r="E49" s="37">
        <v>22600</v>
      </c>
    </row>
    <row r="50" spans="1:14" ht="12" customHeight="1">
      <c r="A50" s="63" t="s">
        <v>46</v>
      </c>
      <c r="B50" s="37">
        <v>29200</v>
      </c>
      <c r="C50" s="37">
        <v>-9300</v>
      </c>
      <c r="D50" s="37">
        <v>2800</v>
      </c>
      <c r="E50" s="37">
        <v>22700</v>
      </c>
    </row>
    <row r="51" spans="1:14" ht="12" customHeight="1">
      <c r="A51" s="63" t="s">
        <v>47</v>
      </c>
      <c r="B51" s="37">
        <v>26500</v>
      </c>
      <c r="C51" s="37">
        <v>32800</v>
      </c>
      <c r="D51" s="37">
        <v>8700</v>
      </c>
      <c r="E51" s="37">
        <v>68000</v>
      </c>
    </row>
    <row r="52" spans="1:14" ht="12" customHeight="1">
      <c r="A52" s="63" t="s">
        <v>48</v>
      </c>
      <c r="B52" s="37">
        <v>27500</v>
      </c>
      <c r="C52" s="37">
        <v>42500</v>
      </c>
      <c r="D52" s="37">
        <v>8700</v>
      </c>
      <c r="E52" s="37">
        <v>78800</v>
      </c>
    </row>
    <row r="53" spans="1:14" ht="12" customHeight="1">
      <c r="A53" s="63" t="s">
        <v>49</v>
      </c>
      <c r="B53" s="37">
        <v>29600</v>
      </c>
      <c r="C53" s="37">
        <v>22000</v>
      </c>
      <c r="D53" s="37">
        <v>8700</v>
      </c>
      <c r="E53" s="37">
        <v>60300</v>
      </c>
    </row>
    <row r="54" spans="1:14" ht="12" customHeight="1">
      <c r="A54" s="63" t="s">
        <v>50</v>
      </c>
      <c r="B54" s="37">
        <v>29100</v>
      </c>
      <c r="C54" s="37">
        <v>8600</v>
      </c>
      <c r="D54" s="37">
        <v>8700</v>
      </c>
      <c r="E54" s="37">
        <v>46300</v>
      </c>
    </row>
    <row r="55" spans="1:14" ht="12" customHeight="1">
      <c r="A55" s="63" t="s">
        <v>51</v>
      </c>
      <c r="B55" s="37">
        <v>31300</v>
      </c>
      <c r="C55" s="37">
        <v>10700</v>
      </c>
      <c r="D55" s="37">
        <v>8700</v>
      </c>
      <c r="E55" s="37">
        <v>50700</v>
      </c>
    </row>
    <row r="56" spans="1:14" ht="12" customHeight="1">
      <c r="A56" s="63" t="s">
        <v>52</v>
      </c>
      <c r="B56" s="37">
        <v>33800</v>
      </c>
      <c r="C56" s="37">
        <v>10100</v>
      </c>
      <c r="D56" s="37">
        <v>-4700</v>
      </c>
      <c r="E56" s="37">
        <v>39200</v>
      </c>
    </row>
    <row r="57" spans="1:14" ht="12" customHeight="1">
      <c r="A57" s="63" t="s">
        <v>53</v>
      </c>
      <c r="B57" s="37">
        <v>35900</v>
      </c>
      <c r="C57" s="37">
        <v>4700</v>
      </c>
      <c r="D57" s="37">
        <v>-4700</v>
      </c>
      <c r="E57" s="37">
        <v>36000</v>
      </c>
    </row>
    <row r="58" spans="1:14" ht="12" customHeight="1">
      <c r="A58" s="63" t="s">
        <v>54</v>
      </c>
      <c r="B58" s="37">
        <v>35000</v>
      </c>
      <c r="C58" s="37">
        <v>12500</v>
      </c>
      <c r="D58" s="37">
        <v>-4700</v>
      </c>
      <c r="E58" s="37">
        <v>42800</v>
      </c>
    </row>
    <row r="59" spans="1:14" ht="12" customHeight="1">
      <c r="A59" s="63" t="s">
        <v>55</v>
      </c>
      <c r="B59" s="37">
        <v>36200</v>
      </c>
      <c r="C59" s="37">
        <v>16500</v>
      </c>
      <c r="D59" s="37">
        <v>-4700</v>
      </c>
      <c r="E59" s="37">
        <v>48100</v>
      </c>
    </row>
    <row r="60" spans="1:14" ht="12" customHeight="1">
      <c r="A60" s="63" t="s">
        <v>56</v>
      </c>
      <c r="B60" s="37">
        <v>34100</v>
      </c>
      <c r="C60" s="37">
        <v>3900</v>
      </c>
      <c r="D60" s="37">
        <v>-4700</v>
      </c>
      <c r="E60" s="37">
        <v>33300</v>
      </c>
    </row>
    <row r="61" spans="1:14" ht="12" customHeight="1">
      <c r="A61" s="63" t="s">
        <v>57</v>
      </c>
      <c r="B61" s="37">
        <v>31900</v>
      </c>
      <c r="C61" s="37">
        <v>-3200</v>
      </c>
      <c r="D61" s="37">
        <v>-4700</v>
      </c>
      <c r="E61" s="37">
        <v>24100</v>
      </c>
    </row>
    <row r="62" spans="1:14" ht="12" customHeight="1">
      <c r="A62" s="63" t="s">
        <v>72</v>
      </c>
      <c r="B62" s="37">
        <v>30800</v>
      </c>
      <c r="C62" s="37">
        <v>7900</v>
      </c>
      <c r="D62" s="37">
        <v>-4700</v>
      </c>
      <c r="E62" s="37">
        <v>34000</v>
      </c>
      <c r="K62" s="58"/>
      <c r="L62" s="58"/>
      <c r="N62" s="58"/>
    </row>
    <row r="63" spans="1:14" ht="12" customHeight="1">
      <c r="A63" s="63" t="s">
        <v>100</v>
      </c>
      <c r="B63" s="37">
        <v>29300</v>
      </c>
      <c r="C63" s="37">
        <v>33500</v>
      </c>
      <c r="D63" s="37">
        <v>11600</v>
      </c>
      <c r="E63" s="37">
        <v>74400</v>
      </c>
      <c r="F63" s="58"/>
      <c r="K63" s="58"/>
      <c r="L63" s="58"/>
      <c r="M63" s="58"/>
      <c r="N63" s="58"/>
    </row>
    <row r="64" spans="1:14" ht="12" customHeight="1">
      <c r="A64" s="63" t="s">
        <v>101</v>
      </c>
      <c r="B64" s="37">
        <v>27700</v>
      </c>
      <c r="C64" s="37">
        <v>53400</v>
      </c>
      <c r="D64" s="37">
        <v>11600</v>
      </c>
      <c r="E64" s="37">
        <v>92900</v>
      </c>
      <c r="F64" s="58"/>
      <c r="K64" s="58"/>
      <c r="L64" s="58"/>
      <c r="M64" s="58"/>
      <c r="N64" s="58"/>
    </row>
    <row r="65" spans="1:14" ht="12" customHeight="1">
      <c r="A65" s="63" t="s">
        <v>102</v>
      </c>
      <c r="B65" s="37">
        <v>28400</v>
      </c>
      <c r="C65" s="37">
        <v>64600</v>
      </c>
      <c r="D65" s="37">
        <v>11600</v>
      </c>
      <c r="E65" s="37">
        <v>104700</v>
      </c>
      <c r="F65" s="58"/>
      <c r="K65" s="58"/>
      <c r="L65" s="58"/>
      <c r="M65" s="58"/>
      <c r="N65" s="58"/>
    </row>
    <row r="66" spans="1:14" ht="12" customHeight="1">
      <c r="A66" s="63" t="s">
        <v>103</v>
      </c>
      <c r="B66" s="37">
        <v>28300</v>
      </c>
      <c r="C66" s="37">
        <v>59500</v>
      </c>
      <c r="D66" s="37">
        <v>11600</v>
      </c>
      <c r="E66" s="37">
        <v>99500</v>
      </c>
      <c r="F66" s="58"/>
      <c r="K66" s="58"/>
      <c r="L66" s="58"/>
      <c r="M66" s="58"/>
      <c r="N66" s="58"/>
    </row>
    <row r="67" spans="1:14" ht="12" customHeight="1">
      <c r="A67" s="63" t="s">
        <v>104</v>
      </c>
      <c r="B67" s="37">
        <v>26700</v>
      </c>
      <c r="C67" s="37">
        <v>49000</v>
      </c>
      <c r="D67" s="37">
        <v>11600</v>
      </c>
      <c r="E67" s="37">
        <v>87000</v>
      </c>
      <c r="F67" s="58"/>
      <c r="K67" s="58"/>
      <c r="L67" s="58"/>
      <c r="M67" s="58"/>
      <c r="N67" s="58"/>
    </row>
    <row r="68" spans="1:14" ht="12" customHeight="1">
      <c r="A68" s="63" t="s">
        <v>170</v>
      </c>
      <c r="B68" s="37">
        <v>26500</v>
      </c>
      <c r="C68" s="37">
        <v>52100</v>
      </c>
      <c r="D68" s="37">
        <v>-8900</v>
      </c>
      <c r="E68" s="37">
        <v>69700</v>
      </c>
      <c r="F68" s="58"/>
      <c r="K68" s="58"/>
      <c r="L68" s="58"/>
      <c r="M68" s="58"/>
      <c r="N68" s="58"/>
    </row>
    <row r="69" spans="1:14" ht="12" customHeight="1">
      <c r="A69" s="63" t="s">
        <v>171</v>
      </c>
      <c r="B69" s="37">
        <v>26200</v>
      </c>
      <c r="C69" s="37">
        <v>84800</v>
      </c>
      <c r="D69" s="37">
        <v>-8900</v>
      </c>
      <c r="E69" s="37">
        <v>102100</v>
      </c>
      <c r="F69" s="58"/>
      <c r="K69" s="58"/>
      <c r="L69" s="58"/>
      <c r="M69" s="58"/>
      <c r="N69" s="58"/>
    </row>
    <row r="70" spans="1:14" ht="12" customHeight="1">
      <c r="A70" s="63" t="s">
        <v>172</v>
      </c>
      <c r="B70" s="37">
        <v>27700</v>
      </c>
      <c r="C70" s="37">
        <v>-6600</v>
      </c>
      <c r="D70" s="37">
        <v>-8900</v>
      </c>
      <c r="E70" s="37">
        <v>12100</v>
      </c>
      <c r="F70" s="58"/>
      <c r="K70" s="58"/>
      <c r="L70" s="58"/>
      <c r="M70" s="58"/>
      <c r="N70" s="58"/>
    </row>
    <row r="71" spans="1:14" ht="12" customHeight="1">
      <c r="A71" s="63" t="s">
        <v>173</v>
      </c>
      <c r="B71" s="37">
        <v>23500</v>
      </c>
      <c r="C71" s="37">
        <v>-17700</v>
      </c>
      <c r="D71" s="37">
        <v>-8900</v>
      </c>
      <c r="E71" s="37">
        <v>-2800</v>
      </c>
      <c r="F71" s="58"/>
      <c r="K71" s="58"/>
      <c r="L71" s="58"/>
      <c r="M71" s="58"/>
      <c r="N71" s="58"/>
    </row>
    <row r="72" spans="1:14" ht="12" customHeight="1">
      <c r="A72" s="63" t="s">
        <v>174</v>
      </c>
      <c r="B72" s="37">
        <v>19100</v>
      </c>
      <c r="C72" s="37">
        <v>108400</v>
      </c>
      <c r="D72" s="37">
        <v>-8900</v>
      </c>
      <c r="E72" s="37">
        <v>118300</v>
      </c>
      <c r="F72" s="58"/>
      <c r="K72" s="58"/>
      <c r="L72" s="58"/>
      <c r="M72" s="58"/>
      <c r="N72" s="58"/>
    </row>
    <row r="73" spans="1:14" ht="12" customHeight="1">
      <c r="A73" s="64" t="s">
        <v>175</v>
      </c>
      <c r="B73" s="42">
        <v>19600</v>
      </c>
      <c r="C73" s="42">
        <v>67800</v>
      </c>
      <c r="D73" s="43" t="s">
        <v>71</v>
      </c>
      <c r="E73" s="42">
        <v>87400</v>
      </c>
      <c r="F73" s="58"/>
      <c r="K73" s="58"/>
      <c r="L73" s="58"/>
      <c r="M73" s="58"/>
      <c r="N73" s="58"/>
    </row>
    <row r="74" spans="1:14" ht="6" customHeight="1">
      <c r="A74" s="3"/>
    </row>
    <row r="75" spans="1:14" ht="24" customHeight="1">
      <c r="A75" s="83" t="s">
        <v>82</v>
      </c>
      <c r="B75" s="83"/>
      <c r="C75" s="83"/>
      <c r="D75" s="83"/>
      <c r="E75" s="83"/>
      <c r="F75" s="83"/>
      <c r="G75" s="83"/>
      <c r="H75" s="83"/>
      <c r="I75" s="57"/>
    </row>
    <row r="76" spans="1:14" ht="57" customHeight="1">
      <c r="A76" s="83" t="s">
        <v>220</v>
      </c>
      <c r="B76" s="83"/>
      <c r="C76" s="83"/>
      <c r="D76" s="83"/>
      <c r="E76" s="83"/>
      <c r="F76" s="83"/>
      <c r="G76" s="83"/>
      <c r="H76" s="83"/>
      <c r="I76" s="57"/>
    </row>
    <row r="77" spans="1:14" ht="24" customHeight="1">
      <c r="A77" s="83" t="s">
        <v>83</v>
      </c>
      <c r="B77" s="83"/>
      <c r="C77" s="83"/>
      <c r="D77" s="83"/>
      <c r="E77" s="83"/>
      <c r="F77" s="83"/>
      <c r="G77" s="83"/>
      <c r="H77" s="83"/>
      <c r="I77" s="57"/>
    </row>
    <row r="78" spans="1:14" ht="24" customHeight="1">
      <c r="A78" s="83" t="s">
        <v>84</v>
      </c>
      <c r="B78" s="83"/>
      <c r="C78" s="83"/>
      <c r="D78" s="83"/>
      <c r="E78" s="83"/>
      <c r="F78" s="83"/>
      <c r="G78" s="83"/>
      <c r="H78" s="83"/>
      <c r="I78" s="57"/>
    </row>
    <row r="79" spans="1:14" ht="36" customHeight="1">
      <c r="A79" s="83" t="s">
        <v>85</v>
      </c>
      <c r="B79" s="83"/>
      <c r="C79" s="83"/>
      <c r="D79" s="83"/>
      <c r="E79" s="83"/>
      <c r="F79" s="83"/>
      <c r="G79" s="83"/>
      <c r="H79" s="83"/>
      <c r="I79" s="57"/>
    </row>
    <row r="80" spans="1:14" ht="36" customHeight="1">
      <c r="A80" s="83" t="s">
        <v>86</v>
      </c>
      <c r="B80" s="83"/>
      <c r="C80" s="83"/>
      <c r="D80" s="83"/>
      <c r="E80" s="83"/>
      <c r="F80" s="83"/>
      <c r="G80" s="83"/>
      <c r="H80" s="83"/>
      <c r="I80" s="57"/>
    </row>
    <row r="81" spans="1:1" ht="6" customHeight="1">
      <c r="A81" s="3" t="s">
        <v>0</v>
      </c>
    </row>
    <row r="82" spans="1:1" ht="12" customHeight="1">
      <c r="A82" s="3" t="s">
        <v>87</v>
      </c>
    </row>
    <row r="83" spans="1:1" ht="6" customHeight="1">
      <c r="A83" s="3" t="s">
        <v>0</v>
      </c>
    </row>
    <row r="84" spans="1:1" ht="12" customHeight="1">
      <c r="A84" s="7" t="s">
        <v>64</v>
      </c>
    </row>
    <row r="85" spans="1:1" ht="12" customHeight="1">
      <c r="A85" s="3" t="s">
        <v>73</v>
      </c>
    </row>
    <row r="86" spans="1:1" ht="6" customHeight="1">
      <c r="A86" s="3" t="s">
        <v>0</v>
      </c>
    </row>
    <row r="87" spans="1:1" ht="12" customHeight="1">
      <c r="A87" s="3" t="s">
        <v>161</v>
      </c>
    </row>
  </sheetData>
  <mergeCells count="8">
    <mergeCell ref="A80:H80"/>
    <mergeCell ref="A8:E8"/>
    <mergeCell ref="A40:E40"/>
    <mergeCell ref="A75:H75"/>
    <mergeCell ref="A76:H76"/>
    <mergeCell ref="A77:H77"/>
    <mergeCell ref="A78:H78"/>
    <mergeCell ref="A79:H79"/>
  </mergeCells>
  <phoneticPr fontId="22" type="noConversion"/>
  <pageMargins left="0.70866141732283472" right="0.70866141732283472" top="0.74803149606299213" bottom="0.7480314960629921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B715D-8E65-47E3-8FA0-21F411D32368}">
  <sheetPr codeName="Sheet5"/>
  <dimension ref="A1:H43"/>
  <sheetViews>
    <sheetView zoomScaleNormal="100" workbookViewId="0">
      <pane ySplit="8" topLeftCell="A9" activePane="bottomLeft" state="frozen"/>
      <selection activeCell="H14" sqref="H14"/>
      <selection pane="bottomLeft"/>
    </sheetView>
  </sheetViews>
  <sheetFormatPr defaultRowHeight="14.25"/>
  <cols>
    <col min="1" max="1" width="5.796875" customWidth="1"/>
    <col min="3" max="8" width="10.73046875" customWidth="1"/>
  </cols>
  <sheetData>
    <row r="1" spans="1:8">
      <c r="A1" s="11" t="s">
        <v>88</v>
      </c>
      <c r="B1" s="10"/>
      <c r="C1" s="31"/>
      <c r="D1" s="12"/>
      <c r="E1" s="10"/>
      <c r="F1" s="10"/>
      <c r="G1" s="10"/>
      <c r="H1" s="21"/>
    </row>
    <row r="2" spans="1:8" ht="6" customHeight="1">
      <c r="A2" s="10"/>
      <c r="B2" s="10"/>
      <c r="C2" s="10"/>
      <c r="D2" s="10"/>
      <c r="E2" s="10"/>
      <c r="F2" s="10"/>
      <c r="G2" s="10"/>
      <c r="H2" s="21"/>
    </row>
    <row r="3" spans="1:8">
      <c r="A3" s="26" t="s">
        <v>89</v>
      </c>
      <c r="B3" s="27"/>
      <c r="C3" s="27"/>
      <c r="D3" s="27"/>
      <c r="E3" s="27"/>
      <c r="F3" s="28"/>
      <c r="G3" s="29"/>
      <c r="H3" s="30"/>
    </row>
    <row r="4" spans="1:8" s="34" customFormat="1" ht="13.15">
      <c r="A4" s="33" t="s">
        <v>90</v>
      </c>
      <c r="B4" s="33"/>
      <c r="C4" s="33"/>
      <c r="D4" s="33"/>
      <c r="E4" s="33"/>
      <c r="F4" s="30"/>
      <c r="G4" s="29"/>
      <c r="H4" s="30"/>
    </row>
    <row r="5" spans="1:8" s="34" customFormat="1" ht="13.15">
      <c r="A5" s="33" t="s">
        <v>231</v>
      </c>
      <c r="B5" s="33"/>
      <c r="C5" s="33"/>
      <c r="D5" s="33"/>
      <c r="E5" s="33"/>
      <c r="F5" s="30"/>
      <c r="G5" s="29"/>
      <c r="H5" s="30"/>
    </row>
    <row r="6" spans="1:8" ht="6" customHeight="1">
      <c r="A6" s="10"/>
      <c r="B6" s="13"/>
      <c r="C6" s="13"/>
      <c r="D6" s="13"/>
      <c r="E6" s="13"/>
      <c r="F6" s="13"/>
      <c r="G6" s="22"/>
      <c r="H6" s="21"/>
    </row>
    <row r="7" spans="1:8">
      <c r="A7" s="88" t="s">
        <v>91</v>
      </c>
      <c r="B7" s="89"/>
      <c r="C7" s="92" t="s">
        <v>92</v>
      </c>
      <c r="D7" s="93"/>
      <c r="E7" s="93"/>
      <c r="F7" s="93"/>
      <c r="G7" s="94"/>
      <c r="H7" s="85" t="s">
        <v>93</v>
      </c>
    </row>
    <row r="8" spans="1:8">
      <c r="A8" s="90"/>
      <c r="B8" s="91"/>
      <c r="C8" s="23" t="s">
        <v>94</v>
      </c>
      <c r="D8" s="24" t="s">
        <v>95</v>
      </c>
      <c r="E8" s="24" t="s">
        <v>96</v>
      </c>
      <c r="F8" s="24" t="s">
        <v>97</v>
      </c>
      <c r="G8" s="25" t="s">
        <v>98</v>
      </c>
      <c r="H8" s="86"/>
    </row>
    <row r="9" spans="1:8">
      <c r="A9" s="87" t="s">
        <v>31</v>
      </c>
      <c r="B9" s="87"/>
      <c r="C9" s="87"/>
      <c r="D9" s="87"/>
      <c r="E9" s="87"/>
      <c r="F9" s="87"/>
      <c r="G9" s="87"/>
      <c r="H9" s="87"/>
    </row>
    <row r="10" spans="1:8">
      <c r="A10" s="48" t="s">
        <v>104</v>
      </c>
      <c r="B10" s="44"/>
      <c r="C10" s="45">
        <v>4900600</v>
      </c>
      <c r="D10" s="45">
        <v>946400</v>
      </c>
      <c r="E10" s="45">
        <v>1676900</v>
      </c>
      <c r="F10" s="45">
        <v>1542300</v>
      </c>
      <c r="G10" s="45">
        <v>734900</v>
      </c>
      <c r="H10" s="47">
        <v>37.200000000000003</v>
      </c>
    </row>
    <row r="11" spans="1:8">
      <c r="A11" s="15" t="s">
        <v>105</v>
      </c>
      <c r="B11" s="44" t="s">
        <v>99</v>
      </c>
      <c r="C11" s="45">
        <v>4970300</v>
      </c>
      <c r="D11" s="46">
        <v>956700</v>
      </c>
      <c r="E11" s="46">
        <v>1703200</v>
      </c>
      <c r="F11" s="46">
        <v>1553400</v>
      </c>
      <c r="G11" s="46">
        <v>757100</v>
      </c>
      <c r="H11" s="47">
        <v>37.200000000000003</v>
      </c>
    </row>
    <row r="12" spans="1:8">
      <c r="A12" s="48" t="s">
        <v>106</v>
      </c>
      <c r="B12" s="44" t="s">
        <v>99</v>
      </c>
      <c r="C12" s="45">
        <v>5072400</v>
      </c>
      <c r="D12" s="45">
        <v>967200</v>
      </c>
      <c r="E12" s="45">
        <v>1745800</v>
      </c>
      <c r="F12" s="45">
        <v>1573300</v>
      </c>
      <c r="G12" s="45">
        <v>786100</v>
      </c>
      <c r="H12" s="47">
        <v>37.299999999999997</v>
      </c>
    </row>
    <row r="13" spans="1:8">
      <c r="A13" s="48" t="s">
        <v>164</v>
      </c>
      <c r="B13" s="44" t="s">
        <v>99</v>
      </c>
      <c r="C13" s="45">
        <v>5084600</v>
      </c>
      <c r="D13" s="45">
        <v>968300</v>
      </c>
      <c r="E13" s="45">
        <v>1733100</v>
      </c>
      <c r="F13" s="45">
        <v>1574800</v>
      </c>
      <c r="G13" s="45">
        <v>808200</v>
      </c>
      <c r="H13" s="47">
        <v>37.6</v>
      </c>
    </row>
    <row r="14" spans="1:8">
      <c r="A14" s="15" t="s">
        <v>165</v>
      </c>
      <c r="B14" s="44" t="s">
        <v>99</v>
      </c>
      <c r="C14" s="45">
        <v>5081700</v>
      </c>
      <c r="D14" s="46">
        <v>963600</v>
      </c>
      <c r="E14" s="46">
        <v>1718900</v>
      </c>
      <c r="F14" s="46">
        <v>1572500</v>
      </c>
      <c r="G14" s="46">
        <v>826800</v>
      </c>
      <c r="H14" s="47">
        <v>37.9</v>
      </c>
    </row>
    <row r="15" spans="1:8">
      <c r="A15" s="48" t="s">
        <v>166</v>
      </c>
      <c r="B15" s="44" t="s">
        <v>99</v>
      </c>
      <c r="C15" s="45">
        <v>5200000</v>
      </c>
      <c r="D15" s="45">
        <v>970000</v>
      </c>
      <c r="E15" s="45">
        <v>1786300</v>
      </c>
      <c r="F15" s="45">
        <v>1595800</v>
      </c>
      <c r="G15" s="45">
        <v>848000</v>
      </c>
      <c r="H15" s="47">
        <v>37.799999999999997</v>
      </c>
    </row>
    <row r="16" spans="1:8">
      <c r="A16" s="48" t="s">
        <v>167</v>
      </c>
      <c r="B16" s="48" t="s">
        <v>107</v>
      </c>
      <c r="C16" s="45">
        <v>5287500</v>
      </c>
      <c r="D16" s="45">
        <v>976400</v>
      </c>
      <c r="E16" s="45">
        <v>1822300</v>
      </c>
      <c r="F16" s="45">
        <v>1614900</v>
      </c>
      <c r="G16" s="45">
        <v>873900</v>
      </c>
      <c r="H16" s="47">
        <v>37.9</v>
      </c>
    </row>
    <row r="17" spans="1:8">
      <c r="A17" s="84" t="s">
        <v>29</v>
      </c>
      <c r="B17" s="84"/>
      <c r="C17" s="84"/>
      <c r="D17" s="84"/>
      <c r="E17" s="84"/>
      <c r="F17" s="84"/>
      <c r="G17" s="84"/>
      <c r="H17" s="84"/>
    </row>
    <row r="18" spans="1:8">
      <c r="A18" s="48" t="s">
        <v>104</v>
      </c>
      <c r="B18" s="44"/>
      <c r="C18" s="46">
        <v>2430200</v>
      </c>
      <c r="D18" s="46">
        <v>485900</v>
      </c>
      <c r="E18" s="46">
        <v>849400</v>
      </c>
      <c r="F18" s="46">
        <v>751700</v>
      </c>
      <c r="G18" s="46">
        <v>343200</v>
      </c>
      <c r="H18" s="47">
        <v>36</v>
      </c>
    </row>
    <row r="19" spans="1:8">
      <c r="A19" s="15" t="s">
        <v>105</v>
      </c>
      <c r="B19" s="44" t="s">
        <v>99</v>
      </c>
      <c r="C19" s="46">
        <v>2467000</v>
      </c>
      <c r="D19" s="46">
        <v>491500</v>
      </c>
      <c r="E19" s="46">
        <v>862900</v>
      </c>
      <c r="F19" s="46">
        <v>758400</v>
      </c>
      <c r="G19" s="46">
        <v>354100</v>
      </c>
      <c r="H19" s="47">
        <v>36.200000000000003</v>
      </c>
    </row>
    <row r="20" spans="1:8">
      <c r="A20" s="48" t="s">
        <v>106</v>
      </c>
      <c r="B20" s="44" t="s">
        <v>99</v>
      </c>
      <c r="C20" s="46">
        <v>2519000</v>
      </c>
      <c r="D20" s="46">
        <v>496700</v>
      </c>
      <c r="E20" s="46">
        <v>885300</v>
      </c>
      <c r="F20" s="46">
        <v>769000</v>
      </c>
      <c r="G20" s="46">
        <v>368000</v>
      </c>
      <c r="H20" s="47">
        <v>36.299999999999997</v>
      </c>
    </row>
    <row r="21" spans="1:8">
      <c r="A21" s="48" t="s">
        <v>164</v>
      </c>
      <c r="B21" s="44" t="s">
        <v>99</v>
      </c>
      <c r="C21" s="46">
        <v>2524700</v>
      </c>
      <c r="D21" s="46">
        <v>497400</v>
      </c>
      <c r="E21" s="46">
        <v>877700</v>
      </c>
      <c r="F21" s="46">
        <v>771000</v>
      </c>
      <c r="G21" s="46">
        <v>378600</v>
      </c>
      <c r="H21" s="47">
        <v>36.6</v>
      </c>
    </row>
    <row r="22" spans="1:8">
      <c r="A22" s="15" t="s">
        <v>165</v>
      </c>
      <c r="B22" s="44" t="s">
        <v>99</v>
      </c>
      <c r="C22" s="46">
        <v>2523100</v>
      </c>
      <c r="D22" s="46">
        <v>494500</v>
      </c>
      <c r="E22" s="46">
        <v>870600</v>
      </c>
      <c r="F22" s="46">
        <v>770400</v>
      </c>
      <c r="G22" s="46">
        <v>387700</v>
      </c>
      <c r="H22" s="47">
        <v>36.9</v>
      </c>
    </row>
    <row r="23" spans="1:8">
      <c r="A23" s="48" t="s">
        <v>166</v>
      </c>
      <c r="B23" s="44" t="s">
        <v>99</v>
      </c>
      <c r="C23" s="46">
        <v>2590000</v>
      </c>
      <c r="D23" s="46">
        <v>497700</v>
      </c>
      <c r="E23" s="46">
        <v>908900</v>
      </c>
      <c r="F23" s="46">
        <v>785500</v>
      </c>
      <c r="G23" s="46">
        <v>397900</v>
      </c>
      <c r="H23" s="47">
        <v>36.9</v>
      </c>
    </row>
    <row r="24" spans="1:8">
      <c r="A24" s="48" t="s">
        <v>167</v>
      </c>
      <c r="B24" s="48" t="s">
        <v>107</v>
      </c>
      <c r="C24" s="46">
        <v>2632900</v>
      </c>
      <c r="D24" s="46">
        <v>500800</v>
      </c>
      <c r="E24" s="46">
        <v>926800</v>
      </c>
      <c r="F24" s="46">
        <v>795400</v>
      </c>
      <c r="G24" s="46">
        <v>410000</v>
      </c>
      <c r="H24" s="47">
        <v>37.1</v>
      </c>
    </row>
    <row r="25" spans="1:8">
      <c r="A25" s="84" t="s">
        <v>30</v>
      </c>
      <c r="B25" s="84"/>
      <c r="C25" s="84"/>
      <c r="D25" s="84"/>
      <c r="E25" s="84"/>
      <c r="F25" s="84"/>
      <c r="G25" s="84"/>
      <c r="H25" s="84"/>
    </row>
    <row r="26" spans="1:8">
      <c r="A26" s="48" t="s">
        <v>104</v>
      </c>
      <c r="B26" s="15"/>
      <c r="C26" s="46">
        <v>2470500</v>
      </c>
      <c r="D26" s="46">
        <v>460500</v>
      </c>
      <c r="E26" s="46">
        <v>827500</v>
      </c>
      <c r="F26" s="46">
        <v>790600</v>
      </c>
      <c r="G26" s="46">
        <v>391800</v>
      </c>
      <c r="H26" s="47">
        <v>38.299999999999997</v>
      </c>
    </row>
    <row r="27" spans="1:8">
      <c r="A27" s="15" t="s">
        <v>105</v>
      </c>
      <c r="B27" s="15" t="s">
        <v>99</v>
      </c>
      <c r="C27" s="46">
        <v>2503300</v>
      </c>
      <c r="D27" s="46">
        <v>465200</v>
      </c>
      <c r="E27" s="46">
        <v>840200</v>
      </c>
      <c r="F27" s="46">
        <v>794900</v>
      </c>
      <c r="G27" s="46">
        <v>403000</v>
      </c>
      <c r="H27" s="47">
        <v>38.299999999999997</v>
      </c>
    </row>
    <row r="28" spans="1:8">
      <c r="A28" s="48" t="s">
        <v>106</v>
      </c>
      <c r="B28" s="15" t="s">
        <v>99</v>
      </c>
      <c r="C28" s="46">
        <v>2553400</v>
      </c>
      <c r="D28" s="46">
        <v>470500</v>
      </c>
      <c r="E28" s="46">
        <v>860500</v>
      </c>
      <c r="F28" s="46">
        <v>804300</v>
      </c>
      <c r="G28" s="46">
        <v>418100</v>
      </c>
      <c r="H28" s="47">
        <v>38.299999999999997</v>
      </c>
    </row>
    <row r="29" spans="1:8">
      <c r="A29" s="48" t="s">
        <v>164</v>
      </c>
      <c r="B29" s="15" t="s">
        <v>99</v>
      </c>
      <c r="C29" s="46">
        <v>2559800</v>
      </c>
      <c r="D29" s="46">
        <v>470900</v>
      </c>
      <c r="E29" s="46">
        <v>855500</v>
      </c>
      <c r="F29" s="46">
        <v>803800</v>
      </c>
      <c r="G29" s="46">
        <v>429600</v>
      </c>
      <c r="H29" s="47">
        <v>38.6</v>
      </c>
    </row>
    <row r="30" spans="1:8">
      <c r="A30" s="15" t="s">
        <v>165</v>
      </c>
      <c r="B30" s="15" t="s">
        <v>99</v>
      </c>
      <c r="C30" s="46">
        <v>2558600</v>
      </c>
      <c r="D30" s="46">
        <v>469100</v>
      </c>
      <c r="E30" s="46">
        <v>848300</v>
      </c>
      <c r="F30" s="46">
        <v>802000</v>
      </c>
      <c r="G30" s="46">
        <v>439100</v>
      </c>
      <c r="H30" s="47">
        <v>38.9</v>
      </c>
    </row>
    <row r="31" spans="1:8">
      <c r="A31" s="48" t="s">
        <v>166</v>
      </c>
      <c r="B31" s="15" t="s">
        <v>99</v>
      </c>
      <c r="C31" s="46">
        <v>2610000</v>
      </c>
      <c r="D31" s="46">
        <v>472200</v>
      </c>
      <c r="E31" s="46">
        <v>877500</v>
      </c>
      <c r="F31" s="46">
        <v>810300</v>
      </c>
      <c r="G31" s="46">
        <v>450000</v>
      </c>
      <c r="H31" s="47">
        <v>38.700000000000003</v>
      </c>
    </row>
    <row r="32" spans="1:8">
      <c r="A32" s="49" t="s">
        <v>167</v>
      </c>
      <c r="B32" s="49" t="s">
        <v>107</v>
      </c>
      <c r="C32" s="50">
        <v>2654500</v>
      </c>
      <c r="D32" s="50">
        <v>475600</v>
      </c>
      <c r="E32" s="50">
        <v>895500</v>
      </c>
      <c r="F32" s="50">
        <v>819500</v>
      </c>
      <c r="G32" s="50">
        <v>463900</v>
      </c>
      <c r="H32" s="51">
        <v>38.799999999999997</v>
      </c>
    </row>
    <row r="33" spans="1:8" ht="6" customHeight="1">
      <c r="A33" s="10"/>
      <c r="B33" s="16"/>
      <c r="C33" s="15"/>
      <c r="D33" s="16"/>
      <c r="E33" s="17"/>
      <c r="F33" s="17"/>
      <c r="G33" s="18"/>
      <c r="H33" s="10"/>
    </row>
    <row r="34" spans="1:8">
      <c r="A34" s="32" t="s">
        <v>60</v>
      </c>
      <c r="C34" s="19"/>
      <c r="D34" s="20"/>
      <c r="E34" s="20"/>
      <c r="F34" s="18"/>
      <c r="G34" s="11"/>
      <c r="H34" s="10"/>
    </row>
    <row r="35" spans="1:8">
      <c r="A35" s="19" t="s">
        <v>168</v>
      </c>
      <c r="C35" s="19"/>
      <c r="D35" s="20"/>
      <c r="E35" s="20"/>
      <c r="F35" s="18"/>
      <c r="G35" s="11"/>
      <c r="H35" s="10"/>
    </row>
    <row r="36" spans="1:8">
      <c r="A36" s="19" t="s">
        <v>169</v>
      </c>
      <c r="C36" s="19"/>
      <c r="D36" s="20"/>
      <c r="E36" s="20"/>
      <c r="F36" s="18"/>
      <c r="G36" s="11"/>
      <c r="H36" s="10"/>
    </row>
    <row r="37" spans="1:8">
      <c r="A37" s="19" t="s">
        <v>62</v>
      </c>
      <c r="C37" s="19"/>
      <c r="D37" s="20"/>
      <c r="E37" s="20"/>
      <c r="F37" s="18"/>
      <c r="G37" s="11"/>
      <c r="H37" s="10"/>
    </row>
    <row r="38" spans="1:8" ht="6" customHeight="1">
      <c r="A38" s="10"/>
      <c r="B38" s="19"/>
      <c r="C38" s="19"/>
      <c r="D38" s="20"/>
      <c r="E38" s="20"/>
      <c r="F38" s="18"/>
      <c r="G38" s="11"/>
      <c r="H38" s="10"/>
    </row>
    <row r="39" spans="1:8">
      <c r="A39" s="14" t="s">
        <v>64</v>
      </c>
      <c r="B39" s="19"/>
      <c r="C39" s="19"/>
      <c r="D39" s="20"/>
      <c r="E39" s="20"/>
      <c r="F39" s="18"/>
      <c r="G39" s="11"/>
      <c r="H39" s="10"/>
    </row>
    <row r="40" spans="1:8">
      <c r="A40" s="19" t="s">
        <v>108</v>
      </c>
      <c r="B40" s="19" t="s">
        <v>109</v>
      </c>
      <c r="C40" s="19"/>
      <c r="D40" s="20"/>
      <c r="E40" s="20"/>
      <c r="F40" s="18"/>
      <c r="G40" s="11"/>
      <c r="H40" s="10"/>
    </row>
    <row r="41" spans="1:8">
      <c r="A41" s="19" t="s">
        <v>99</v>
      </c>
      <c r="B41" s="19" t="s">
        <v>110</v>
      </c>
      <c r="C41" s="19"/>
      <c r="D41" s="20"/>
      <c r="E41" s="20"/>
      <c r="F41" s="18"/>
      <c r="G41" s="11"/>
      <c r="H41" s="10"/>
    </row>
    <row r="42" spans="1:8" ht="6" customHeight="1">
      <c r="A42" s="10"/>
      <c r="B42" s="10"/>
      <c r="C42" s="10"/>
      <c r="D42" s="10"/>
      <c r="E42" s="10"/>
      <c r="F42" s="10"/>
      <c r="G42" s="10"/>
      <c r="H42" s="10"/>
    </row>
    <row r="43" spans="1:8">
      <c r="A43" s="3" t="s">
        <v>161</v>
      </c>
      <c r="B43" s="10"/>
      <c r="C43" s="10"/>
      <c r="D43" s="10"/>
      <c r="E43" s="10"/>
      <c r="F43" s="10"/>
      <c r="G43" s="10"/>
      <c r="H43" s="10"/>
    </row>
  </sheetData>
  <mergeCells count="6">
    <mergeCell ref="A25:H25"/>
    <mergeCell ref="H7:H8"/>
    <mergeCell ref="A9:H9"/>
    <mergeCell ref="A17:H17"/>
    <mergeCell ref="A7:B8"/>
    <mergeCell ref="C7:G7"/>
  </mergeCells>
  <phoneticPr fontId="22" type="noConversion"/>
  <pageMargins left="0.7" right="0.7" top="0.75" bottom="0.75" header="0.3" footer="0.3"/>
  <pageSetup paperSize="9" scale="9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A1:J65"/>
  <sheetViews>
    <sheetView zoomScaleNormal="100" workbookViewId="0">
      <pane ySplit="8" topLeftCell="A9" activePane="bottomLeft" state="frozen"/>
      <selection pane="bottomLeft"/>
    </sheetView>
  </sheetViews>
  <sheetFormatPr defaultRowHeight="14.25"/>
  <cols>
    <col min="1" max="1" width="11" customWidth="1"/>
    <col min="2" max="9" width="10.33203125" customWidth="1"/>
    <col min="10" max="10" width="12.33203125" bestFit="1" customWidth="1"/>
  </cols>
  <sheetData>
    <row r="1" spans="1:10">
      <c r="A1" s="1" t="s">
        <v>111</v>
      </c>
    </row>
    <row r="2" spans="1:10" ht="6" customHeight="1">
      <c r="A2" s="3" t="s">
        <v>0</v>
      </c>
    </row>
    <row r="3" spans="1:10">
      <c r="A3" s="4" t="s">
        <v>112</v>
      </c>
    </row>
    <row r="4" spans="1:10">
      <c r="A4" s="1" t="s">
        <v>163</v>
      </c>
    </row>
    <row r="5" spans="1:10" ht="6" customHeight="1">
      <c r="A5" s="3"/>
    </row>
    <row r="6" spans="1:10" ht="28.5" customHeight="1">
      <c r="A6" s="80" t="s">
        <v>113</v>
      </c>
      <c r="B6" s="80" t="s">
        <v>114</v>
      </c>
      <c r="C6" s="80" t="s">
        <v>0</v>
      </c>
      <c r="D6" s="80" t="s">
        <v>0</v>
      </c>
      <c r="E6" s="80" t="s">
        <v>0</v>
      </c>
      <c r="F6" s="80" t="s">
        <v>115</v>
      </c>
      <c r="G6" s="81"/>
      <c r="H6" s="81"/>
      <c r="I6" s="81"/>
    </row>
    <row r="7" spans="1:10" ht="28.5" customHeight="1">
      <c r="A7" s="80" t="s">
        <v>0</v>
      </c>
      <c r="B7" s="80" t="s">
        <v>116</v>
      </c>
      <c r="C7" s="80" t="s">
        <v>117</v>
      </c>
      <c r="D7" s="80" t="s">
        <v>0</v>
      </c>
      <c r="E7" s="80" t="s">
        <v>0</v>
      </c>
      <c r="F7" s="80" t="s">
        <v>116</v>
      </c>
      <c r="G7" s="80" t="s">
        <v>118</v>
      </c>
      <c r="H7" s="81"/>
      <c r="I7" s="81"/>
    </row>
    <row r="8" spans="1:10" ht="20.25">
      <c r="A8" s="80" t="s">
        <v>0</v>
      </c>
      <c r="B8" s="80" t="s">
        <v>0</v>
      </c>
      <c r="C8" s="8" t="s">
        <v>32</v>
      </c>
      <c r="D8" s="8" t="s">
        <v>33</v>
      </c>
      <c r="E8" s="8" t="s">
        <v>119</v>
      </c>
      <c r="F8" s="80" t="s">
        <v>0</v>
      </c>
      <c r="G8" s="8" t="s">
        <v>32</v>
      </c>
      <c r="H8" s="8" t="s">
        <v>33</v>
      </c>
      <c r="I8" s="8" t="s">
        <v>119</v>
      </c>
      <c r="J8" s="69"/>
    </row>
    <row r="9" spans="1:10" ht="12" customHeight="1">
      <c r="A9" s="78" t="s">
        <v>120</v>
      </c>
      <c r="B9" s="79"/>
      <c r="C9" s="79"/>
      <c r="D9" s="79"/>
      <c r="E9" s="79"/>
      <c r="F9" s="79"/>
      <c r="G9" s="79"/>
      <c r="H9" s="79"/>
      <c r="I9" s="79"/>
    </row>
    <row r="10" spans="1:10" ht="12" customHeight="1">
      <c r="A10" s="41" t="s">
        <v>121</v>
      </c>
      <c r="B10" s="37">
        <v>115461</v>
      </c>
      <c r="C10" s="9" t="s">
        <v>71</v>
      </c>
      <c r="D10" s="9" t="s">
        <v>71</v>
      </c>
      <c r="E10" s="9" t="s">
        <v>71</v>
      </c>
      <c r="F10" s="37">
        <v>56049</v>
      </c>
      <c r="G10" s="9" t="s">
        <v>71</v>
      </c>
      <c r="H10" s="9" t="s">
        <v>71</v>
      </c>
      <c r="I10" s="9" t="s">
        <v>71</v>
      </c>
      <c r="J10" s="9"/>
    </row>
    <row r="11" spans="1:10" ht="12" customHeight="1">
      <c r="A11" s="41" t="s">
        <v>122</v>
      </c>
      <c r="B11" s="37">
        <v>344985</v>
      </c>
      <c r="C11" s="9" t="s">
        <v>123</v>
      </c>
      <c r="D11" s="9" t="s">
        <v>123</v>
      </c>
      <c r="E11" s="9" t="s">
        <v>123</v>
      </c>
      <c r="F11" s="37">
        <v>47331</v>
      </c>
      <c r="G11" s="9" t="s">
        <v>123</v>
      </c>
      <c r="H11" s="9" t="s">
        <v>123</v>
      </c>
      <c r="I11" s="9" t="s">
        <v>123</v>
      </c>
      <c r="J11" s="9"/>
    </row>
    <row r="12" spans="1:10" ht="12" customHeight="1">
      <c r="A12" s="41" t="s">
        <v>124</v>
      </c>
      <c r="B12" s="37">
        <v>458007</v>
      </c>
      <c r="C12" s="37">
        <v>113022</v>
      </c>
      <c r="D12" s="38">
        <v>32.76</v>
      </c>
      <c r="E12" s="54">
        <v>7.33</v>
      </c>
      <c r="F12" s="37">
        <v>45543</v>
      </c>
      <c r="G12" s="37">
        <v>-1788</v>
      </c>
      <c r="H12" s="38">
        <v>-3.78</v>
      </c>
      <c r="I12" s="54">
        <v>-0.96</v>
      </c>
      <c r="J12" s="68"/>
    </row>
    <row r="13" spans="1:10" ht="12" customHeight="1">
      <c r="A13" s="41" t="s">
        <v>125</v>
      </c>
      <c r="B13" s="37">
        <v>534030</v>
      </c>
      <c r="C13" s="37">
        <v>76023</v>
      </c>
      <c r="D13" s="38">
        <v>16.600000000000001</v>
      </c>
      <c r="E13" s="54">
        <v>5.0999999999999996</v>
      </c>
      <c r="F13" s="37">
        <v>46140</v>
      </c>
      <c r="G13" s="37">
        <v>597</v>
      </c>
      <c r="H13" s="38">
        <v>1.31</v>
      </c>
      <c r="I13" s="54">
        <v>0.42</v>
      </c>
      <c r="J13" s="68"/>
    </row>
    <row r="14" spans="1:10" ht="12" customHeight="1">
      <c r="A14" s="41" t="s">
        <v>126</v>
      </c>
      <c r="B14" s="37">
        <v>620451</v>
      </c>
      <c r="C14" s="37">
        <v>86421</v>
      </c>
      <c r="D14" s="38">
        <v>16.18</v>
      </c>
      <c r="E14" s="54">
        <v>3.06</v>
      </c>
      <c r="F14" s="37">
        <v>43926</v>
      </c>
      <c r="G14" s="37">
        <v>-2214</v>
      </c>
      <c r="H14" s="38">
        <v>-4.8</v>
      </c>
      <c r="I14" s="54">
        <v>-0.98</v>
      </c>
      <c r="J14" s="38"/>
    </row>
    <row r="15" spans="1:10" ht="12" customHeight="1">
      <c r="A15" s="41" t="s">
        <v>127</v>
      </c>
      <c r="B15" s="37">
        <v>668652</v>
      </c>
      <c r="C15" s="37">
        <v>48201</v>
      </c>
      <c r="D15" s="38">
        <v>7.77</v>
      </c>
      <c r="E15" s="54">
        <v>1.5</v>
      </c>
      <c r="F15" s="37">
        <v>44178</v>
      </c>
      <c r="G15" s="37">
        <v>252</v>
      </c>
      <c r="H15" s="38">
        <v>0.56999999999999995</v>
      </c>
      <c r="I15" s="54">
        <v>0.11</v>
      </c>
      <c r="J15" s="38"/>
    </row>
    <row r="16" spans="1:10" ht="12" customHeight="1">
      <c r="A16" s="41" t="s">
        <v>128</v>
      </c>
      <c r="B16" s="37">
        <v>743214</v>
      </c>
      <c r="C16" s="37">
        <v>74562</v>
      </c>
      <c r="D16" s="38">
        <v>11.15</v>
      </c>
      <c r="E16" s="54">
        <v>2.13</v>
      </c>
      <c r="F16" s="37">
        <v>42114</v>
      </c>
      <c r="G16" s="37">
        <v>-2064</v>
      </c>
      <c r="H16" s="38">
        <v>-4.67</v>
      </c>
      <c r="I16" s="54">
        <v>-0.95</v>
      </c>
      <c r="J16" s="38"/>
    </row>
    <row r="17" spans="1:10" ht="12" customHeight="1">
      <c r="A17" s="41" t="s">
        <v>129</v>
      </c>
      <c r="B17" s="37">
        <v>815862</v>
      </c>
      <c r="C17" s="37">
        <v>72648</v>
      </c>
      <c r="D17" s="38">
        <v>9.77</v>
      </c>
      <c r="E17" s="54">
        <v>1.9</v>
      </c>
      <c r="F17" s="37">
        <v>45549</v>
      </c>
      <c r="G17" s="37">
        <v>3435</v>
      </c>
      <c r="H17" s="38">
        <v>8.16</v>
      </c>
      <c r="I17" s="54">
        <v>1.59</v>
      </c>
      <c r="J17" s="68"/>
    </row>
    <row r="18" spans="1:10" ht="12" customHeight="1">
      <c r="A18" s="41" t="s">
        <v>130</v>
      </c>
      <c r="B18" s="37">
        <v>936309</v>
      </c>
      <c r="C18" s="37">
        <v>120447</v>
      </c>
      <c r="D18" s="38">
        <v>14.76</v>
      </c>
      <c r="E18" s="54">
        <v>2.75</v>
      </c>
      <c r="F18" s="37">
        <v>50310</v>
      </c>
      <c r="G18" s="37">
        <v>4761</v>
      </c>
      <c r="H18" s="38">
        <v>10.45</v>
      </c>
      <c r="I18" s="54">
        <v>1.98</v>
      </c>
      <c r="J18" s="68"/>
    </row>
    <row r="19" spans="1:10" ht="12" customHeight="1">
      <c r="A19" s="41" t="s">
        <v>131</v>
      </c>
      <c r="B19" s="37">
        <v>1058313</v>
      </c>
      <c r="C19" s="37">
        <v>122004</v>
      </c>
      <c r="D19" s="38">
        <v>13.03</v>
      </c>
      <c r="E19" s="54">
        <v>2.52</v>
      </c>
      <c r="F19" s="37">
        <v>52722</v>
      </c>
      <c r="G19" s="37">
        <v>2412</v>
      </c>
      <c r="H19" s="38">
        <v>4.79</v>
      </c>
      <c r="I19" s="54">
        <v>0.96</v>
      </c>
      <c r="J19" s="68"/>
    </row>
    <row r="20" spans="1:10" ht="12" customHeight="1">
      <c r="A20" s="41" t="s">
        <v>132</v>
      </c>
      <c r="B20" s="37">
        <v>1149225</v>
      </c>
      <c r="C20" s="37">
        <v>90912</v>
      </c>
      <c r="D20" s="38">
        <v>8.59</v>
      </c>
      <c r="E20" s="54">
        <v>1.5</v>
      </c>
      <c r="F20" s="37">
        <v>52998</v>
      </c>
      <c r="G20" s="37">
        <v>276</v>
      </c>
      <c r="H20" s="38">
        <v>0.52</v>
      </c>
      <c r="I20" s="54">
        <v>0.09</v>
      </c>
      <c r="J20" s="68"/>
    </row>
    <row r="21" spans="1:10" ht="12" customHeight="1">
      <c r="A21" s="41" t="s">
        <v>133</v>
      </c>
      <c r="B21" s="37">
        <v>1271667</v>
      </c>
      <c r="C21" s="37">
        <v>122442</v>
      </c>
      <c r="D21" s="38">
        <v>10.65</v>
      </c>
      <c r="E21" s="54">
        <v>2.27</v>
      </c>
      <c r="F21" s="37">
        <v>56988</v>
      </c>
      <c r="G21" s="37">
        <v>3990</v>
      </c>
      <c r="H21" s="38">
        <v>7.53</v>
      </c>
      <c r="I21" s="54">
        <v>1.62</v>
      </c>
      <c r="J21" s="68"/>
    </row>
    <row r="22" spans="1:10" ht="12" customHeight="1">
      <c r="A22" s="41" t="s">
        <v>134</v>
      </c>
      <c r="B22" s="37">
        <v>1408140</v>
      </c>
      <c r="C22" s="37">
        <v>136473</v>
      </c>
      <c r="D22" s="38">
        <v>10.73</v>
      </c>
      <c r="E22" s="54">
        <v>2.06</v>
      </c>
      <c r="F22" s="37">
        <v>69780</v>
      </c>
      <c r="G22" s="9" t="s">
        <v>123</v>
      </c>
      <c r="H22" s="9" t="s">
        <v>123</v>
      </c>
      <c r="I22" s="54" t="s">
        <v>123</v>
      </c>
      <c r="J22" s="9"/>
    </row>
    <row r="23" spans="1:10" ht="12" customHeight="1">
      <c r="A23" s="41" t="s">
        <v>135</v>
      </c>
      <c r="B23" s="37">
        <v>1573812</v>
      </c>
      <c r="C23" s="37">
        <v>165672</v>
      </c>
      <c r="D23" s="38">
        <v>11.77</v>
      </c>
      <c r="E23" s="54">
        <v>1.1299999999999999</v>
      </c>
      <c r="F23" s="37">
        <v>94053</v>
      </c>
      <c r="G23" s="37">
        <v>24273</v>
      </c>
      <c r="H23" s="38">
        <v>34.79</v>
      </c>
      <c r="I23" s="54">
        <v>3.05</v>
      </c>
      <c r="J23" s="68"/>
    </row>
    <row r="24" spans="1:10" ht="12" customHeight="1">
      <c r="A24" s="41" t="s">
        <v>136</v>
      </c>
      <c r="B24" s="37">
        <v>1702299</v>
      </c>
      <c r="C24" s="37">
        <v>128487</v>
      </c>
      <c r="D24" s="38">
        <v>8.16</v>
      </c>
      <c r="E24" s="54">
        <v>0.83</v>
      </c>
      <c r="F24" s="37">
        <v>115647</v>
      </c>
      <c r="G24" s="37">
        <v>21594</v>
      </c>
      <c r="H24" s="38">
        <v>22.96</v>
      </c>
      <c r="I24" s="54">
        <v>2.2000000000000002</v>
      </c>
      <c r="J24" s="68"/>
    </row>
    <row r="25" spans="1:10" ht="12" customHeight="1">
      <c r="A25" s="41" t="s">
        <v>137</v>
      </c>
      <c r="B25" s="37">
        <v>1939473</v>
      </c>
      <c r="C25" s="37">
        <v>237174</v>
      </c>
      <c r="D25" s="38">
        <v>13.93</v>
      </c>
      <c r="E25" s="54">
        <v>2.37</v>
      </c>
      <c r="F25" s="37">
        <v>134097</v>
      </c>
      <c r="G25" s="37">
        <v>18450</v>
      </c>
      <c r="H25" s="38">
        <v>15.95</v>
      </c>
      <c r="I25" s="54">
        <v>2.7</v>
      </c>
      <c r="J25" s="68"/>
    </row>
    <row r="26" spans="1:10" ht="12" customHeight="1">
      <c r="A26" s="41" t="s">
        <v>138</v>
      </c>
      <c r="B26" s="37">
        <v>2174061</v>
      </c>
      <c r="C26" s="37">
        <v>234588</v>
      </c>
      <c r="D26" s="38">
        <v>12.1</v>
      </c>
      <c r="E26" s="54">
        <v>2.31</v>
      </c>
      <c r="F26" s="37">
        <v>162258</v>
      </c>
      <c r="G26" s="37">
        <v>28161</v>
      </c>
      <c r="H26" s="38">
        <v>21</v>
      </c>
      <c r="I26" s="54">
        <v>3.88</v>
      </c>
      <c r="J26" s="68"/>
    </row>
    <row r="27" spans="1:10" ht="12" customHeight="1">
      <c r="A27" s="41" t="s">
        <v>139</v>
      </c>
      <c r="B27" s="37">
        <v>2414985</v>
      </c>
      <c r="C27" s="37">
        <v>240924</v>
      </c>
      <c r="D27" s="38">
        <v>11.08</v>
      </c>
      <c r="E27" s="54">
        <v>2.12</v>
      </c>
      <c r="F27" s="37">
        <v>201159</v>
      </c>
      <c r="G27" s="37">
        <v>38901</v>
      </c>
      <c r="H27" s="38">
        <v>23.97</v>
      </c>
      <c r="I27" s="54">
        <v>4.3899999999999997</v>
      </c>
      <c r="J27" s="38"/>
    </row>
    <row r="28" spans="1:10" ht="12" customHeight="1">
      <c r="A28" s="41" t="s">
        <v>140</v>
      </c>
      <c r="B28" s="37">
        <v>2676918</v>
      </c>
      <c r="C28" s="37">
        <v>261933</v>
      </c>
      <c r="D28" s="38">
        <v>10.85</v>
      </c>
      <c r="E28" s="54">
        <v>2.11</v>
      </c>
      <c r="F28" s="37">
        <v>249237</v>
      </c>
      <c r="G28" s="37">
        <v>48078</v>
      </c>
      <c r="H28" s="38">
        <v>23.9</v>
      </c>
      <c r="I28" s="54">
        <v>4.45</v>
      </c>
      <c r="J28" s="68"/>
    </row>
    <row r="29" spans="1:10" ht="12" customHeight="1">
      <c r="A29" s="41" t="s">
        <v>141</v>
      </c>
      <c r="B29" s="37">
        <v>2862630</v>
      </c>
      <c r="C29" s="37">
        <v>185712</v>
      </c>
      <c r="D29" s="38">
        <v>6.94</v>
      </c>
      <c r="E29" s="54">
        <v>1.35</v>
      </c>
      <c r="F29" s="37">
        <v>289887</v>
      </c>
      <c r="G29" s="37">
        <v>40650</v>
      </c>
      <c r="H29" s="38">
        <v>16.309999999999999</v>
      </c>
      <c r="I29" s="54">
        <v>3.07</v>
      </c>
      <c r="J29" s="38"/>
    </row>
    <row r="30" spans="1:10" ht="12" customHeight="1">
      <c r="A30" s="41" t="s">
        <v>142</v>
      </c>
      <c r="B30" s="37">
        <v>3129384</v>
      </c>
      <c r="C30" s="37">
        <v>266754</v>
      </c>
      <c r="D30" s="38">
        <v>9.32</v>
      </c>
      <c r="E30" s="54">
        <v>1.8</v>
      </c>
      <c r="F30" s="37">
        <v>356574</v>
      </c>
      <c r="G30" s="37">
        <v>66687</v>
      </c>
      <c r="H30" s="38">
        <v>23</v>
      </c>
      <c r="I30" s="54">
        <v>4.2300000000000004</v>
      </c>
      <c r="J30" s="38"/>
    </row>
    <row r="31" spans="1:10" ht="12" customHeight="1">
      <c r="A31" s="41" t="s">
        <v>143</v>
      </c>
      <c r="B31" s="37">
        <v>3175737</v>
      </c>
      <c r="C31" s="37">
        <v>46353</v>
      </c>
      <c r="D31" s="38">
        <v>1.48</v>
      </c>
      <c r="E31" s="54">
        <v>0.28999999999999998</v>
      </c>
      <c r="F31" s="37">
        <v>385236</v>
      </c>
      <c r="G31" s="37">
        <v>28662</v>
      </c>
      <c r="H31" s="38">
        <v>8.0399999999999991</v>
      </c>
      <c r="I31" s="54">
        <v>1.56</v>
      </c>
      <c r="J31" s="38"/>
    </row>
    <row r="32" spans="1:10" ht="12" customHeight="1">
      <c r="A32" s="41" t="s">
        <v>144</v>
      </c>
      <c r="B32" s="37">
        <v>3307083</v>
      </c>
      <c r="C32" s="37">
        <v>131346</v>
      </c>
      <c r="D32" s="38">
        <v>4.1399999999999997</v>
      </c>
      <c r="E32" s="54">
        <v>0.82</v>
      </c>
      <c r="F32" s="37">
        <v>405309</v>
      </c>
      <c r="G32" s="37">
        <v>20073</v>
      </c>
      <c r="H32" s="38">
        <v>5.21</v>
      </c>
      <c r="I32" s="54">
        <v>1.03</v>
      </c>
      <c r="J32" s="68"/>
    </row>
    <row r="33" spans="1:10" ht="12" customHeight="1">
      <c r="A33" s="41" t="s">
        <v>145</v>
      </c>
      <c r="B33" s="37">
        <v>3434949</v>
      </c>
      <c r="C33" s="37">
        <v>127866</v>
      </c>
      <c r="D33" s="38">
        <v>3.87</v>
      </c>
      <c r="E33" s="54">
        <v>0.76</v>
      </c>
      <c r="F33" s="37">
        <v>435618</v>
      </c>
      <c r="G33" s="37">
        <v>30309</v>
      </c>
      <c r="H33" s="38">
        <v>7.48</v>
      </c>
      <c r="I33" s="54">
        <v>1.45</v>
      </c>
      <c r="J33" s="38"/>
    </row>
    <row r="34" spans="1:10" ht="12" customHeight="1">
      <c r="A34" s="41" t="s">
        <v>146</v>
      </c>
      <c r="B34" s="37">
        <v>3681546</v>
      </c>
      <c r="C34" s="37">
        <v>246597</v>
      </c>
      <c r="D34" s="38">
        <v>7.18</v>
      </c>
      <c r="E34" s="54">
        <v>1.4</v>
      </c>
      <c r="F34" s="37">
        <v>524034</v>
      </c>
      <c r="G34" s="37">
        <v>88416</v>
      </c>
      <c r="H34" s="38">
        <v>20.3</v>
      </c>
      <c r="I34" s="54">
        <v>3.76</v>
      </c>
      <c r="J34" s="38"/>
    </row>
    <row r="35" spans="1:10" ht="12" customHeight="1">
      <c r="A35" s="41" t="s">
        <v>147</v>
      </c>
      <c r="B35" s="37">
        <v>3820749</v>
      </c>
      <c r="C35" s="37">
        <v>139203</v>
      </c>
      <c r="D35" s="38">
        <v>3.78</v>
      </c>
      <c r="E35" s="54">
        <v>0.74</v>
      </c>
      <c r="F35" s="37">
        <v>527067</v>
      </c>
      <c r="G35" s="37">
        <v>3033</v>
      </c>
      <c r="H35" s="38">
        <v>0.57999999999999996</v>
      </c>
      <c r="I35" s="54">
        <v>0.12</v>
      </c>
      <c r="J35" s="38"/>
    </row>
    <row r="36" spans="1:10" ht="12" customHeight="1">
      <c r="A36" s="41" t="s">
        <v>148</v>
      </c>
      <c r="B36" s="37">
        <v>4143282</v>
      </c>
      <c r="C36" s="37">
        <v>322533</v>
      </c>
      <c r="D36" s="38">
        <v>8.44</v>
      </c>
      <c r="E36" s="54">
        <v>1.63</v>
      </c>
      <c r="F36" s="37">
        <v>566496</v>
      </c>
      <c r="G36" s="37">
        <v>39429</v>
      </c>
      <c r="H36" s="38">
        <v>7.48</v>
      </c>
      <c r="I36" s="54">
        <v>1.45</v>
      </c>
      <c r="J36" s="38"/>
    </row>
    <row r="37" spans="1:10" ht="12" customHeight="1">
      <c r="A37" s="41" t="s">
        <v>149</v>
      </c>
      <c r="B37" s="37">
        <v>4353198</v>
      </c>
      <c r="C37" s="37">
        <v>209919</v>
      </c>
      <c r="D37" s="38">
        <v>5.07</v>
      </c>
      <c r="E37" s="54">
        <v>0.71</v>
      </c>
      <c r="F37" s="37">
        <v>599862</v>
      </c>
      <c r="G37" s="37">
        <v>33369</v>
      </c>
      <c r="H37" s="38">
        <v>5.89</v>
      </c>
      <c r="I37" s="54">
        <v>0.82</v>
      </c>
      <c r="J37" s="68"/>
    </row>
    <row r="38" spans="1:10" ht="12" customHeight="1">
      <c r="A38" s="52" t="s">
        <v>150</v>
      </c>
      <c r="B38" s="53">
        <v>4793358</v>
      </c>
      <c r="C38" s="37">
        <v>440160</v>
      </c>
      <c r="D38" s="54">
        <v>10.11</v>
      </c>
      <c r="E38" s="54">
        <v>1.95</v>
      </c>
      <c r="F38" s="53">
        <v>777195</v>
      </c>
      <c r="G38" s="37">
        <v>177333</v>
      </c>
      <c r="H38" s="54">
        <v>29.56</v>
      </c>
      <c r="I38" s="54">
        <v>5.32</v>
      </c>
      <c r="J38" s="54"/>
    </row>
    <row r="39" spans="1:10" ht="12" customHeight="1">
      <c r="A39" s="67" t="s">
        <v>162</v>
      </c>
      <c r="B39" s="53">
        <v>5090715</v>
      </c>
      <c r="C39" s="53">
        <f>B39-B38</f>
        <v>297357</v>
      </c>
      <c r="D39" s="54">
        <f>100*C39/B38</f>
        <v>6.2035216230458898</v>
      </c>
      <c r="E39" s="54">
        <f>100*((B39/B38)^(1/5)-1)</f>
        <v>1.2110157789939846</v>
      </c>
      <c r="F39" s="53">
        <v>888996</v>
      </c>
      <c r="G39" s="53">
        <f>F39-F38</f>
        <v>111801</v>
      </c>
      <c r="H39" s="54">
        <f>100*G39/F38</f>
        <v>14.385192905255439</v>
      </c>
      <c r="I39" s="54">
        <f>100*((F39/F38)^(1/5)-1)</f>
        <v>2.7244824322226746</v>
      </c>
      <c r="J39" s="54"/>
    </row>
    <row r="40" spans="1:10" ht="12" customHeight="1">
      <c r="A40" s="78" t="s">
        <v>151</v>
      </c>
      <c r="B40" s="79"/>
      <c r="C40" s="79"/>
      <c r="D40" s="79"/>
      <c r="E40" s="79"/>
      <c r="F40" s="79"/>
      <c r="G40" s="79"/>
      <c r="H40" s="79"/>
      <c r="I40" s="79"/>
    </row>
    <row r="41" spans="1:10" ht="12" customHeight="1">
      <c r="A41" s="41" t="s">
        <v>143</v>
      </c>
      <c r="B41" s="37">
        <v>3143307</v>
      </c>
      <c r="C41" s="9" t="s">
        <v>71</v>
      </c>
      <c r="D41" s="9" t="s">
        <v>71</v>
      </c>
      <c r="E41" s="9" t="s">
        <v>71</v>
      </c>
      <c r="F41" s="37">
        <v>384933</v>
      </c>
      <c r="G41" s="9" t="s">
        <v>71</v>
      </c>
      <c r="H41" s="9" t="s">
        <v>71</v>
      </c>
      <c r="I41" s="9" t="s">
        <v>71</v>
      </c>
    </row>
    <row r="42" spans="1:10" ht="12" customHeight="1">
      <c r="A42" s="41" t="s">
        <v>144</v>
      </c>
      <c r="B42" s="37">
        <v>3263283</v>
      </c>
      <c r="C42" s="37">
        <v>119976</v>
      </c>
      <c r="D42" s="38">
        <v>3.82</v>
      </c>
      <c r="E42" s="38">
        <v>0.76</v>
      </c>
      <c r="F42" s="37">
        <v>404775</v>
      </c>
      <c r="G42" s="37">
        <v>19842</v>
      </c>
      <c r="H42" s="38">
        <v>5.15</v>
      </c>
      <c r="I42" s="38">
        <v>1.02</v>
      </c>
    </row>
    <row r="43" spans="1:10" ht="12" customHeight="1">
      <c r="A43" s="41" t="s">
        <v>145</v>
      </c>
      <c r="B43" s="37">
        <v>3373926</v>
      </c>
      <c r="C43" s="37">
        <v>110643</v>
      </c>
      <c r="D43" s="38">
        <v>3.39</v>
      </c>
      <c r="E43" s="38">
        <v>0.67</v>
      </c>
      <c r="F43" s="37">
        <v>434847</v>
      </c>
      <c r="G43" s="37">
        <v>30072</v>
      </c>
      <c r="H43" s="38">
        <v>7.43</v>
      </c>
      <c r="I43" s="38">
        <v>1.44</v>
      </c>
    </row>
    <row r="44" spans="1:10" ht="12" customHeight="1">
      <c r="A44" s="41" t="s">
        <v>146</v>
      </c>
      <c r="B44" s="37">
        <v>3618303</v>
      </c>
      <c r="C44" s="37">
        <v>244377</v>
      </c>
      <c r="D44" s="38">
        <v>7.24</v>
      </c>
      <c r="E44" s="38">
        <v>1.41</v>
      </c>
      <c r="F44" s="37">
        <v>523371</v>
      </c>
      <c r="G44" s="37">
        <v>88524</v>
      </c>
      <c r="H44" s="38">
        <v>20.36</v>
      </c>
      <c r="I44" s="38">
        <v>3.77</v>
      </c>
    </row>
    <row r="45" spans="1:10" ht="12" customHeight="1">
      <c r="A45" s="41" t="s">
        <v>147</v>
      </c>
      <c r="B45" s="37">
        <v>3737277</v>
      </c>
      <c r="C45" s="37">
        <v>118974</v>
      </c>
      <c r="D45" s="38">
        <v>3.29</v>
      </c>
      <c r="E45" s="38">
        <v>0.65</v>
      </c>
      <c r="F45" s="37">
        <v>526281</v>
      </c>
      <c r="G45" s="37">
        <v>2910</v>
      </c>
      <c r="H45" s="38">
        <v>0.56000000000000005</v>
      </c>
      <c r="I45" s="38">
        <v>0.11</v>
      </c>
    </row>
    <row r="46" spans="1:10" ht="12" customHeight="1">
      <c r="A46" s="41" t="s">
        <v>148</v>
      </c>
      <c r="B46" s="37">
        <v>4027947</v>
      </c>
      <c r="C46" s="37">
        <v>290670</v>
      </c>
      <c r="D46" s="38">
        <v>7.78</v>
      </c>
      <c r="E46" s="38">
        <v>1.51</v>
      </c>
      <c r="F46" s="37">
        <v>565329</v>
      </c>
      <c r="G46" s="37">
        <v>39048</v>
      </c>
      <c r="H46" s="38">
        <v>7.42</v>
      </c>
      <c r="I46" s="38">
        <v>1.44</v>
      </c>
    </row>
    <row r="47" spans="1:10" ht="12" customHeight="1">
      <c r="A47" s="41" t="s">
        <v>149</v>
      </c>
      <c r="B47" s="37">
        <v>4242048</v>
      </c>
      <c r="C47" s="37">
        <v>214101</v>
      </c>
      <c r="D47" s="38">
        <v>5.32</v>
      </c>
      <c r="E47" s="38">
        <v>0.74</v>
      </c>
      <c r="F47" s="37">
        <v>598602</v>
      </c>
      <c r="G47" s="37">
        <v>33276</v>
      </c>
      <c r="H47" s="38">
        <v>5.89</v>
      </c>
      <c r="I47" s="38">
        <v>0.82</v>
      </c>
    </row>
    <row r="48" spans="1:10" ht="12" customHeight="1">
      <c r="A48" s="41" t="s">
        <v>150</v>
      </c>
      <c r="B48" s="37">
        <v>4699755</v>
      </c>
      <c r="C48" s="37">
        <v>457707</v>
      </c>
      <c r="D48" s="38">
        <v>10.79</v>
      </c>
      <c r="E48" s="38">
        <v>2.0699999999999998</v>
      </c>
      <c r="F48" s="37">
        <v>775836</v>
      </c>
      <c r="G48" s="37">
        <v>177234</v>
      </c>
      <c r="H48" s="38">
        <v>29.61</v>
      </c>
      <c r="I48" s="38">
        <v>5.32</v>
      </c>
    </row>
    <row r="49" spans="1:9" ht="12" customHeight="1">
      <c r="A49" s="66" t="s">
        <v>162</v>
      </c>
      <c r="B49" s="55">
        <v>4993923</v>
      </c>
      <c r="C49" s="55">
        <f>B49-B48</f>
        <v>294168</v>
      </c>
      <c r="D49" s="56">
        <f>100*C49/B48</f>
        <v>6.2592198955051916</v>
      </c>
      <c r="E49" s="56">
        <f>100*((B49/B48)^(1/5)-1)</f>
        <v>1.2216295447783132</v>
      </c>
      <c r="F49" s="55">
        <v>887493</v>
      </c>
      <c r="G49" s="55">
        <f>F49-F48</f>
        <v>111657</v>
      </c>
      <c r="H49" s="56">
        <f>100*G49/F48</f>
        <v>14.391830232162468</v>
      </c>
      <c r="I49" s="56">
        <f>100*((F49/F48)^(1/5)-1)</f>
        <v>2.7256745448191344</v>
      </c>
    </row>
    <row r="50" spans="1:9" ht="12" customHeight="1">
      <c r="A50" s="3"/>
    </row>
    <row r="51" spans="1:9" ht="12" customHeight="1">
      <c r="A51" s="3" t="s">
        <v>233</v>
      </c>
    </row>
    <row r="52" spans="1:9" ht="12" customHeight="1">
      <c r="A52" s="3" t="s">
        <v>152</v>
      </c>
    </row>
    <row r="53" spans="1:9" ht="12" customHeight="1">
      <c r="A53" s="3" t="s">
        <v>153</v>
      </c>
    </row>
    <row r="54" spans="1:9" ht="12" customHeight="1">
      <c r="A54" s="3" t="s">
        <v>154</v>
      </c>
    </row>
    <row r="55" spans="1:9" ht="12" customHeight="1">
      <c r="A55" s="3" t="s">
        <v>155</v>
      </c>
    </row>
    <row r="56" spans="1:9" ht="12" customHeight="1">
      <c r="A56" s="3" t="s">
        <v>156</v>
      </c>
    </row>
    <row r="57" spans="1:9" ht="12" customHeight="1">
      <c r="A57" s="3" t="s">
        <v>0</v>
      </c>
    </row>
    <row r="58" spans="1:9" ht="12" customHeight="1">
      <c r="A58" s="3" t="s">
        <v>157</v>
      </c>
    </row>
    <row r="59" spans="1:9" ht="12" customHeight="1">
      <c r="A59" s="3" t="s">
        <v>158</v>
      </c>
    </row>
    <row r="60" spans="1:9" ht="12" customHeight="1">
      <c r="A60" s="3" t="s">
        <v>0</v>
      </c>
    </row>
    <row r="61" spans="1:9" ht="12" customHeight="1">
      <c r="A61" s="7" t="s">
        <v>64</v>
      </c>
    </row>
    <row r="62" spans="1:9" ht="12" customHeight="1">
      <c r="A62" s="3" t="s">
        <v>159</v>
      </c>
    </row>
    <row r="63" spans="1:9" ht="12" customHeight="1">
      <c r="A63" s="3" t="s">
        <v>160</v>
      </c>
    </row>
    <row r="64" spans="1:9" ht="12" customHeight="1">
      <c r="A64" s="3" t="s">
        <v>0</v>
      </c>
    </row>
    <row r="65" spans="1:1" ht="12" customHeight="1">
      <c r="A65" s="3" t="s">
        <v>161</v>
      </c>
    </row>
  </sheetData>
  <mergeCells count="9">
    <mergeCell ref="A9:I9"/>
    <mergeCell ref="A40:I40"/>
    <mergeCell ref="A6:A8"/>
    <mergeCell ref="B6:E6"/>
    <mergeCell ref="F6:I6"/>
    <mergeCell ref="B7:B8"/>
    <mergeCell ref="F7:F8"/>
    <mergeCell ref="C7:E7"/>
    <mergeCell ref="G7:I7"/>
  </mergeCells>
  <phoneticPr fontId="22" type="noConversion"/>
  <pageMargins left="0.7" right="0.7" top="0.75" bottom="0.75" header="0.3" footer="0.3"/>
  <pageSetup paperSize="9" scale="91"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FA0AB-0ECE-4838-A681-349B24C0D1E5}">
  <dimension ref="A1:H31"/>
  <sheetViews>
    <sheetView zoomScaleNormal="100" workbookViewId="0">
      <pane ySplit="8" topLeftCell="A9" activePane="bottomLeft" state="frozen"/>
      <selection pane="bottomLeft"/>
    </sheetView>
  </sheetViews>
  <sheetFormatPr defaultRowHeight="14.25"/>
  <cols>
    <col min="1" max="1" width="11.9296875" customWidth="1"/>
    <col min="2" max="5" width="10.73046875" customWidth="1"/>
    <col min="8" max="8" width="10.46484375" bestFit="1" customWidth="1"/>
  </cols>
  <sheetData>
    <row r="1" spans="1:8">
      <c r="A1" s="11" t="s">
        <v>184</v>
      </c>
      <c r="B1" s="31"/>
      <c r="C1" s="12"/>
      <c r="D1" s="10"/>
      <c r="E1" s="10"/>
    </row>
    <row r="2" spans="1:8" ht="6" customHeight="1">
      <c r="A2" s="10"/>
      <c r="B2" s="10"/>
      <c r="C2" s="10"/>
      <c r="D2" s="10"/>
      <c r="E2" s="10"/>
    </row>
    <row r="3" spans="1:8">
      <c r="A3" s="26" t="s">
        <v>225</v>
      </c>
      <c r="B3" s="27"/>
      <c r="C3" s="27"/>
      <c r="D3" s="27"/>
      <c r="E3" s="28"/>
    </row>
    <row r="4" spans="1:8" s="34" customFormat="1" ht="14.65">
      <c r="A4" s="1" t="s">
        <v>213</v>
      </c>
      <c r="B4" s="33"/>
      <c r="C4" s="33"/>
      <c r="D4" s="33"/>
      <c r="E4" s="30"/>
    </row>
    <row r="5" spans="1:8" s="34" customFormat="1" ht="14.65">
      <c r="A5" s="1" t="s">
        <v>222</v>
      </c>
      <c r="B5" s="33"/>
      <c r="C5" s="33"/>
      <c r="D5" s="33"/>
      <c r="E5" s="30"/>
    </row>
    <row r="6" spans="1:8" ht="6" customHeight="1">
      <c r="A6" s="10"/>
      <c r="B6" s="13"/>
      <c r="C6" s="13"/>
      <c r="D6" s="13"/>
      <c r="E6" s="13"/>
    </row>
    <row r="7" spans="1:8">
      <c r="A7" s="88" t="s">
        <v>212</v>
      </c>
      <c r="B7" s="92" t="s">
        <v>200</v>
      </c>
      <c r="C7" s="93"/>
      <c r="D7" s="93"/>
      <c r="E7" s="93"/>
      <c r="F7" s="92" t="s">
        <v>201</v>
      </c>
      <c r="G7" s="93"/>
      <c r="H7" s="93"/>
    </row>
    <row r="8" spans="1:8">
      <c r="A8" s="90"/>
      <c r="B8" s="23" t="s">
        <v>31</v>
      </c>
      <c r="C8" s="24" t="s">
        <v>198</v>
      </c>
      <c r="D8" s="24" t="s">
        <v>199</v>
      </c>
      <c r="E8" s="24" t="s">
        <v>185</v>
      </c>
      <c r="F8" s="24" t="s">
        <v>198</v>
      </c>
      <c r="G8" s="24" t="s">
        <v>199</v>
      </c>
      <c r="H8" s="24" t="s">
        <v>185</v>
      </c>
    </row>
    <row r="9" spans="1:8">
      <c r="A9" s="48" t="s">
        <v>221</v>
      </c>
      <c r="B9" s="46">
        <v>297400</v>
      </c>
      <c r="C9" s="46">
        <v>151800</v>
      </c>
      <c r="D9" s="46">
        <v>145100</v>
      </c>
      <c r="E9" s="46">
        <v>500</v>
      </c>
      <c r="F9" s="72">
        <v>51</v>
      </c>
      <c r="G9" s="72">
        <v>48.8</v>
      </c>
      <c r="H9" s="72">
        <v>0.2</v>
      </c>
    </row>
    <row r="10" spans="1:8">
      <c r="A10" s="48" t="s">
        <v>186</v>
      </c>
      <c r="B10" s="46">
        <v>322100</v>
      </c>
      <c r="C10" s="46">
        <v>164100</v>
      </c>
      <c r="D10" s="46">
        <v>157400</v>
      </c>
      <c r="E10" s="46">
        <v>600</v>
      </c>
      <c r="F10" s="72">
        <v>50.9</v>
      </c>
      <c r="G10" s="72">
        <v>48.9</v>
      </c>
      <c r="H10" s="72">
        <v>0.2</v>
      </c>
    </row>
    <row r="11" spans="1:8">
      <c r="A11" s="48" t="s">
        <v>187</v>
      </c>
      <c r="B11" s="46">
        <v>345800</v>
      </c>
      <c r="C11" s="46">
        <v>177100</v>
      </c>
      <c r="D11" s="46">
        <v>167200</v>
      </c>
      <c r="E11" s="46">
        <v>1500</v>
      </c>
      <c r="F11" s="72">
        <v>51.2</v>
      </c>
      <c r="G11" s="72">
        <v>48.4</v>
      </c>
      <c r="H11" s="72">
        <v>0.4</v>
      </c>
    </row>
    <row r="12" spans="1:8">
      <c r="A12" s="48" t="s">
        <v>188</v>
      </c>
      <c r="B12" s="46">
        <v>329100</v>
      </c>
      <c r="C12" s="46">
        <v>167800</v>
      </c>
      <c r="D12" s="46">
        <v>157600</v>
      </c>
      <c r="E12" s="46">
        <v>3800</v>
      </c>
      <c r="F12" s="72">
        <v>51</v>
      </c>
      <c r="G12" s="72">
        <v>47.9</v>
      </c>
      <c r="H12" s="72">
        <v>1.1000000000000001</v>
      </c>
    </row>
    <row r="13" spans="1:8">
      <c r="A13" s="48" t="s">
        <v>189</v>
      </c>
      <c r="B13" s="46">
        <v>321800</v>
      </c>
      <c r="C13" s="46">
        <v>163000</v>
      </c>
      <c r="D13" s="46">
        <v>154800</v>
      </c>
      <c r="E13" s="46">
        <v>4000</v>
      </c>
      <c r="F13" s="72">
        <v>50.6</v>
      </c>
      <c r="G13" s="72">
        <v>48.1</v>
      </c>
      <c r="H13" s="72">
        <v>1.3</v>
      </c>
    </row>
    <row r="14" spans="1:8">
      <c r="A14" s="48" t="s">
        <v>190</v>
      </c>
      <c r="B14" s="46">
        <v>352300</v>
      </c>
      <c r="C14" s="46">
        <v>178700</v>
      </c>
      <c r="D14" s="46">
        <v>170700</v>
      </c>
      <c r="E14" s="46">
        <v>3000</v>
      </c>
      <c r="F14" s="72">
        <v>50.7</v>
      </c>
      <c r="G14" s="72">
        <v>48.5</v>
      </c>
      <c r="H14" s="72">
        <v>0.8</v>
      </c>
    </row>
    <row r="15" spans="1:8">
      <c r="A15" s="48" t="s">
        <v>191</v>
      </c>
      <c r="B15" s="46">
        <v>394200</v>
      </c>
      <c r="C15" s="46">
        <v>196600</v>
      </c>
      <c r="D15" s="46">
        <v>195600</v>
      </c>
      <c r="E15" s="46">
        <v>2000</v>
      </c>
      <c r="F15" s="72">
        <v>49.9</v>
      </c>
      <c r="G15" s="72">
        <v>49.6</v>
      </c>
      <c r="H15" s="72">
        <v>0.5</v>
      </c>
    </row>
    <row r="16" spans="1:8">
      <c r="A16" s="48" t="s">
        <v>192</v>
      </c>
      <c r="B16" s="46">
        <v>360900</v>
      </c>
      <c r="C16" s="46">
        <v>179900</v>
      </c>
      <c r="D16" s="46">
        <v>179800</v>
      </c>
      <c r="E16" s="46">
        <v>1200</v>
      </c>
      <c r="F16" s="72">
        <v>49.9</v>
      </c>
      <c r="G16" s="72">
        <v>49.8</v>
      </c>
      <c r="H16" s="72">
        <v>0.3</v>
      </c>
    </row>
    <row r="17" spans="1:8">
      <c r="A17" s="48" t="s">
        <v>193</v>
      </c>
      <c r="B17" s="46">
        <v>326300</v>
      </c>
      <c r="C17" s="46">
        <v>161900</v>
      </c>
      <c r="D17" s="46">
        <v>163500</v>
      </c>
      <c r="E17" s="46">
        <v>800</v>
      </c>
      <c r="F17" s="72">
        <v>49.6</v>
      </c>
      <c r="G17" s="72">
        <v>50.1</v>
      </c>
      <c r="H17" s="72">
        <v>0.3</v>
      </c>
    </row>
    <row r="18" spans="1:8">
      <c r="A18" s="48" t="s">
        <v>194</v>
      </c>
      <c r="B18" s="46">
        <v>310500</v>
      </c>
      <c r="C18" s="46">
        <v>152300</v>
      </c>
      <c r="D18" s="46">
        <v>157500</v>
      </c>
      <c r="E18" s="46">
        <v>700</v>
      </c>
      <c r="F18" s="72">
        <v>49.1</v>
      </c>
      <c r="G18" s="72">
        <v>50.7</v>
      </c>
      <c r="H18" s="72">
        <v>0.2</v>
      </c>
    </row>
    <row r="19" spans="1:8">
      <c r="A19" s="48" t="s">
        <v>195</v>
      </c>
      <c r="B19" s="46">
        <v>331600</v>
      </c>
      <c r="C19" s="46">
        <v>161400</v>
      </c>
      <c r="D19" s="46">
        <v>169500</v>
      </c>
      <c r="E19" s="46">
        <v>700</v>
      </c>
      <c r="F19" s="72">
        <v>48.7</v>
      </c>
      <c r="G19" s="72">
        <v>51.1</v>
      </c>
      <c r="H19" s="72">
        <v>0.2</v>
      </c>
    </row>
    <row r="20" spans="1:8">
      <c r="A20" s="48" t="s">
        <v>196</v>
      </c>
      <c r="B20" s="46">
        <v>312600</v>
      </c>
      <c r="C20" s="46">
        <v>152800</v>
      </c>
      <c r="D20" s="46">
        <v>159200</v>
      </c>
      <c r="E20" s="46">
        <v>600</v>
      </c>
      <c r="F20" s="72">
        <v>48.9</v>
      </c>
      <c r="G20" s="72">
        <v>50.9</v>
      </c>
      <c r="H20" s="72">
        <v>0.2</v>
      </c>
    </row>
    <row r="21" spans="1:8">
      <c r="A21" s="48" t="s">
        <v>197</v>
      </c>
      <c r="B21" s="46">
        <v>303600</v>
      </c>
      <c r="C21" s="46">
        <v>147700</v>
      </c>
      <c r="D21" s="46">
        <v>155400</v>
      </c>
      <c r="E21" s="46">
        <v>500</v>
      </c>
      <c r="F21" s="72">
        <v>48.7</v>
      </c>
      <c r="G21" s="72">
        <v>51.2</v>
      </c>
      <c r="H21" s="72">
        <v>0.2</v>
      </c>
    </row>
    <row r="22" spans="1:8">
      <c r="A22" s="48" t="s">
        <v>98</v>
      </c>
      <c r="B22" s="46">
        <v>841600</v>
      </c>
      <c r="C22" s="46">
        <v>394200</v>
      </c>
      <c r="D22" s="46">
        <v>446500</v>
      </c>
      <c r="E22" s="46">
        <v>900</v>
      </c>
      <c r="F22" s="72">
        <v>46.8</v>
      </c>
      <c r="G22" s="72">
        <v>53.1</v>
      </c>
      <c r="H22" s="72">
        <v>0.1</v>
      </c>
    </row>
    <row r="23" spans="1:8">
      <c r="A23" s="71" t="s">
        <v>94</v>
      </c>
      <c r="B23" s="50">
        <v>5149700</v>
      </c>
      <c r="C23" s="50">
        <v>2549300</v>
      </c>
      <c r="D23" s="50">
        <v>2579800</v>
      </c>
      <c r="E23" s="50">
        <v>20700</v>
      </c>
      <c r="F23" s="73">
        <v>49.5</v>
      </c>
      <c r="G23" s="73">
        <v>50.1</v>
      </c>
      <c r="H23" s="73">
        <v>0.4</v>
      </c>
    </row>
    <row r="24" spans="1:8" ht="6" customHeight="1">
      <c r="A24" s="10"/>
      <c r="B24" s="15"/>
      <c r="C24" s="16"/>
      <c r="D24" s="17"/>
      <c r="E24" s="17"/>
    </row>
    <row r="25" spans="1:8">
      <c r="A25" s="19" t="s">
        <v>234</v>
      </c>
      <c r="B25" s="19"/>
      <c r="C25" s="20"/>
      <c r="D25" s="20"/>
      <c r="E25" s="18"/>
    </row>
    <row r="26" spans="1:8">
      <c r="A26" s="77" t="s">
        <v>214</v>
      </c>
      <c r="B26" s="77"/>
      <c r="C26" s="77"/>
      <c r="D26" s="77"/>
      <c r="E26" s="77"/>
      <c r="F26" s="77"/>
      <c r="G26" s="77"/>
      <c r="H26" s="77"/>
    </row>
    <row r="27" spans="1:8" ht="14.35" customHeight="1">
      <c r="A27" s="76" t="s">
        <v>223</v>
      </c>
      <c r="B27" s="75"/>
      <c r="C27" s="75"/>
      <c r="D27" s="75"/>
      <c r="E27" s="75"/>
      <c r="F27" s="75"/>
      <c r="G27" s="75"/>
      <c r="H27" s="75"/>
    </row>
    <row r="28" spans="1:8" ht="6" customHeight="1">
      <c r="A28" s="10"/>
      <c r="B28" s="19"/>
      <c r="C28" s="20"/>
      <c r="D28" s="20"/>
      <c r="E28" s="18"/>
    </row>
    <row r="29" spans="1:8">
      <c r="A29" s="3" t="s">
        <v>87</v>
      </c>
      <c r="B29" s="19"/>
      <c r="C29" s="20"/>
      <c r="D29" s="20"/>
      <c r="E29" s="18"/>
    </row>
    <row r="30" spans="1:8" ht="6" customHeight="1">
      <c r="A30" s="10"/>
      <c r="B30" s="10"/>
      <c r="C30" s="10"/>
      <c r="D30" s="10"/>
      <c r="E30" s="10"/>
    </row>
    <row r="31" spans="1:8">
      <c r="A31" s="3" t="s">
        <v>161</v>
      </c>
      <c r="B31" s="10"/>
      <c r="C31" s="10"/>
      <c r="D31" s="10"/>
      <c r="E31" s="10"/>
    </row>
  </sheetData>
  <mergeCells count="3">
    <mergeCell ref="A7:A8"/>
    <mergeCell ref="B7:E7"/>
    <mergeCell ref="F7:H7"/>
  </mergeCells>
  <hyperlinks>
    <hyperlink ref="A26" r:id="rId1" display="Gender refers to a person’s social and personal identity as male, female, or another gender or genders that may be non-binary. Gender has three output categories: male, female, another gender. Gender, sex, and LGBTIQ+ concepts in the 2023 Census has more information, definiations and data quality." xr:uid="{8774729C-FABC-4B96-92C2-62D88C418DD0}"/>
    <hyperlink ref="A26:H26" r:id="rId2" display="4. Gender refers to a person’s social and personal identity as male, female, or another gender or genders that may be non-binary. Gender, sex, and LGBTIQ+ concepts in the 2023 Census has more information." xr:uid="{967E6AEA-944A-4BE1-96EB-FB136F2F08DA}"/>
  </hyperlinks>
  <pageMargins left="0.7" right="0.7" top="0.75" bottom="0.75" header="0.3" footer="0.3"/>
  <pageSetup paperSize="9" scale="90"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f3e49f9-63b2-4bbe-8408-c4b58cb2712b">
      <Value>3</Value>
      <Value>2</Value>
      <Value>1</Value>
    </TaxCatchAll>
    <TaxCatchAllLabel xmlns="5f3e49f9-63b2-4bbe-8408-c4b58cb2712b" xsi:nil="true"/>
    <ka1980c8309e4dfba9b4151987bcda67 xmlns="5f3e49f9-63b2-4bbe-8408-c4b58cb2712b">
      <Terms xmlns="http://schemas.microsoft.com/office/infopath/2007/PartnerControls">
        <TermInfo xmlns="http://schemas.microsoft.com/office/infopath/2007/PartnerControls">
          <TermName xmlns="http://schemas.microsoft.com/office/infopath/2007/PartnerControls">Unclassified</TermName>
          <TermId xmlns="http://schemas.microsoft.com/office/infopath/2007/PartnerControls">e358a964-c2cf-4fbc-b0d6-6d6f8b9fb44c</TermId>
        </TermInfo>
      </Terms>
    </ka1980c8309e4dfba9b4151987bcda67>
    <Archive_x0020_Access_x0020_level_x0020__x0028_F_x0029_ xmlns="5f3e49f9-63b2-4bbe-8408-c4b58cb2712b" xsi:nil="true"/>
    <Last_x0020_Edited_x0020_By_x0020__x0028_F_x0029_ xmlns="5f3e49f9-63b2-4bbe-8408-c4b58cb2712b">
      <UserInfo>
        <DisplayName/>
        <AccountId xsi:nil="true"/>
        <AccountType/>
      </UserInfo>
    </Last_x0020_Edited_x0020_By_x0020__x0028_F_x0029_>
    <Relates_x0020_to_x0020__x0028_F_x0029_12 xmlns="5f3e49f9-63b2-4bbe-8408-c4b58cb2712b" xsi:nil="true"/>
    <id100c0c3eec40d4ac767d9dfa41607b xmlns="5f3e49f9-63b2-4bbe-8408-c4b58cb2712b">
      <Terms xmlns="http://schemas.microsoft.com/office/infopath/2007/PartnerControls">
        <TermInfo xmlns="http://schemas.microsoft.com/office/infopath/2007/PartnerControls">
          <TermName xmlns="http://schemas.microsoft.com/office/infopath/2007/PartnerControls">Statistical Dissemination</TermName>
          <TermId xmlns="http://schemas.microsoft.com/office/infopath/2007/PartnerControls">9bab31ad-7584-49a1-a4fc-061fd380e4f6</TermId>
        </TermInfo>
      </Terms>
    </id100c0c3eec40d4ac767d9dfa41607b>
    <TEST_x0020_ONLY xmlns="4d5aeaa5-10c6-4b46-b472-171b603d6bc4" xsi:nil="true"/>
    <hc1a1a3ab2ae420fb2e3cb6a43fb3060 xmlns="5f3e49f9-63b2-4bbe-8408-c4b58cb2712b">
      <Terms xmlns="http://schemas.microsoft.com/office/infopath/2007/PartnerControls">
        <TermInfo xmlns="http://schemas.microsoft.com/office/infopath/2007/PartnerControls">
          <TermName xmlns="http://schemas.microsoft.com/office/infopath/2007/PartnerControls">Statistical Production</TermName>
          <TermId xmlns="http://schemas.microsoft.com/office/infopath/2007/PartnerControls">56beeb0d-f7ac-46f4-b55a-2b3f50e9ed92</TermId>
        </TermInfo>
      </Terms>
    </hc1a1a3ab2ae420fb2e3cb6a43fb3060>
    <Activity_x0020_Status_x0020__x0028_F_x0029_ xmlns="5f3e49f9-63b2-4bbe-8408-c4b58cb2712b">Active</Activity_x0020_Status_x0020__x0028_F_x0029_>
  </documentManagement>
</p:properties>
</file>

<file path=customXml/item3.xml><?xml version="1.0" encoding="utf-8"?>
<ct:contentTypeSchema xmlns:ct="http://schemas.microsoft.com/office/2006/metadata/contentType" xmlns:ma="http://schemas.microsoft.com/office/2006/metadata/properties/metaAttributes" ct:_="" ma:_="" ma:contentTypeName="Stats NZ Document" ma:contentTypeID="0x0101005C1F0E1F7D76D944AAE852963BF785A30054EF6807C1F1DA4090AFA33FFEE8F5B1" ma:contentTypeVersion="12" ma:contentTypeDescription="" ma:contentTypeScope="" ma:versionID="9e71047137986777cfb75115bad6a904">
  <xsd:schema xmlns:xsd="http://www.w3.org/2001/XMLSchema" xmlns:xs="http://www.w3.org/2001/XMLSchema" xmlns:p="http://schemas.microsoft.com/office/2006/metadata/properties" xmlns:ns2="5f3e49f9-63b2-4bbe-8408-c4b58cb2712b" xmlns:ns3="4d5aeaa5-10c6-4b46-b472-171b603d6bc4" targetNamespace="http://schemas.microsoft.com/office/2006/metadata/properties" ma:root="true" ma:fieldsID="e3aa82c1eff310adaa4f842d944a56b3" ns2:_="" ns3:_="">
    <xsd:import namespace="5f3e49f9-63b2-4bbe-8408-c4b58cb2712b"/>
    <xsd:import namespace="4d5aeaa5-10c6-4b46-b472-171b603d6bc4"/>
    <xsd:element name="properties">
      <xsd:complexType>
        <xsd:sequence>
          <xsd:element name="documentManagement">
            <xsd:complexType>
              <xsd:all>
                <xsd:element ref="ns2:Activity_x0020_Status_x0020__x0028_F_x0029_" minOccurs="0"/>
                <xsd:element ref="ns2:Last_x0020_Edited_x0020_By_x0020__x0028_F_x0029_" minOccurs="0"/>
                <xsd:element ref="ns2:Relates_x0020_to_x0020__x0028_F_x0029_12" minOccurs="0"/>
                <xsd:element ref="ns2:Archive_x0020_Access_x0020_level_x0020__x0028_F_x0029_" minOccurs="0"/>
                <xsd:element ref="ns2:hc1a1a3ab2ae420fb2e3cb6a43fb3060" minOccurs="0"/>
                <xsd:element ref="ns2:id100c0c3eec40d4ac767d9dfa41607b" minOccurs="0"/>
                <xsd:element ref="ns2:TaxCatchAll" minOccurs="0"/>
                <xsd:element ref="ns2:TaxCatchAllLabel" minOccurs="0"/>
                <xsd:element ref="ns2:ka1980c8309e4dfba9b4151987bcda67" minOccurs="0"/>
                <xsd:element ref="ns3:TEST_x0020_ONL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3e49f9-63b2-4bbe-8408-c4b58cb2712b" elementFormDefault="qualified">
    <xsd:import namespace="http://schemas.microsoft.com/office/2006/documentManagement/types"/>
    <xsd:import namespace="http://schemas.microsoft.com/office/infopath/2007/PartnerControls"/>
    <xsd:element name="Activity_x0020_Status_x0020__x0028_F_x0029_" ma:index="2" nillable="true" ma:displayName="Activity Status (F)" ma:default="Active" ma:format="Dropdown" ma:internalName="Activity_x0020_Status_x0020__x0028_F_x0029_" ma:readOnly="false">
      <xsd:simpleType>
        <xsd:restriction base="dms:Choice">
          <xsd:enumeration value="Active"/>
          <xsd:enumeration value="Inactive"/>
        </xsd:restriction>
      </xsd:simpleType>
    </xsd:element>
    <xsd:element name="Last_x0020_Edited_x0020_By_x0020__x0028_F_x0029_" ma:index="6" nillable="true" ma:displayName="Last Edited By (F)" ma:list="UserInfo" ma:SharePointGroup="0" ma:internalName="Last_x0020_Edited_x0020_By_x0020__x0028_F_x0029_"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lates_x0020_to_x0020__x0028_F_x0029_12" ma:index="7" nillable="true" ma:displayName="Relates to (F)" ma:internalName="Relates_x0020_to_x0020__x0028_F_x0029_12" ma:readOnly="false">
      <xsd:simpleType>
        <xsd:restriction base="dms:Text">
          <xsd:maxLength value="255"/>
        </xsd:restriction>
      </xsd:simpleType>
    </xsd:element>
    <xsd:element name="Archive_x0020_Access_x0020_level_x0020__x0028_F_x0029_" ma:index="8" nillable="true" ma:displayName="Archive Access level (F)" ma:format="Dropdown" ma:internalName="Archive_x0020_Access_x0020_level_x0020__x0028_F_x0029_" ma:readOnly="false">
      <xsd:simpleType>
        <xsd:restriction base="dms:Choice">
          <xsd:enumeration value="Open"/>
          <xsd:enumeration value="Restricted"/>
        </xsd:restriction>
      </xsd:simpleType>
    </xsd:element>
    <xsd:element name="hc1a1a3ab2ae420fb2e3cb6a43fb3060" ma:index="10" nillable="true" ma:taxonomy="true" ma:internalName="hc1a1a3ab2ae420fb2e3cb6a43fb3060" ma:taxonomyFieldName="Function_x0020__x0028_F_x0029_" ma:displayName="Function (F)" ma:readOnly="false" ma:default="2;#Statistical Production|56beeb0d-f7ac-46f4-b55a-2b3f50e9ed92" ma:fieldId="{1c1a1a3a-b2ae-420f-b2e3-cb6a43fb3060}" ma:sspId="ada8392b-dc98-451e-8434-fd5d9b2c1940" ma:termSetId="f875e9d4-afe7-4aa3-a20b-dea66ea1c4eb" ma:anchorId="00000000-0000-0000-0000-000000000000" ma:open="false" ma:isKeyword="false">
      <xsd:complexType>
        <xsd:sequence>
          <xsd:element ref="pc:Terms" minOccurs="0" maxOccurs="1"/>
        </xsd:sequence>
      </xsd:complexType>
    </xsd:element>
    <xsd:element name="id100c0c3eec40d4ac767d9dfa41607b" ma:index="11" nillable="true" ma:taxonomy="true" ma:internalName="id100c0c3eec40d4ac767d9dfa41607b" ma:taxonomyFieldName="Activity_x0020__x0028_F_x0029_" ma:displayName="Activity (F)" ma:readOnly="false" ma:default="3;#Statistical Dissemination|9bab31ad-7584-49a1-a4fc-061fd380e4f6" ma:fieldId="{2d100c0c-3eec-40d4-ac76-7d9dfa41607b}" ma:sspId="ada8392b-dc98-451e-8434-fd5d9b2c1940" ma:termSetId="0b2a1302-2f91-4b63-9bb6-1fa34ff5d6ee"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29347b52-944f-4c25-9df2-d19e0eab6dfc}" ma:internalName="TaxCatchAll" ma:readOnly="false" ma:showField="CatchAllData"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29347b52-944f-4c25-9df2-d19e0eab6dfc}" ma:internalName="TaxCatchAllLabel" ma:readOnly="false" ma:showField="CatchAllDataLabel"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ka1980c8309e4dfba9b4151987bcda67" ma:index="17" nillable="true" ma:taxonomy="true" ma:internalName="ka1980c8309e4dfba9b4151987bcda67" ma:taxonomyFieldName="Protective_x0020_Marking_x0020__x0028_F_x0029_" ma:displayName="Protective Marking (F)" ma:readOnly="false" ma:default="1;#Unclassified|e358a964-c2cf-4fbc-b0d6-6d6f8b9fb44c" ma:fieldId="{4a1980c8-309e-4dfb-a9b4-151987bcda67}" ma:sspId="ada8392b-dc98-451e-8434-fd5d9b2c1940" ma:termSetId="171c51cd-c059-4e16-ad37-530d7c05f11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d5aeaa5-10c6-4b46-b472-171b603d6bc4" elementFormDefault="qualified">
    <xsd:import namespace="http://schemas.microsoft.com/office/2006/documentManagement/types"/>
    <xsd:import namespace="http://schemas.microsoft.com/office/infopath/2007/PartnerControls"/>
    <xsd:element name="TEST_x0020_ONLY" ma:index="20" nillable="true" ma:displayName="TEST ONLY" ma:internalName="TEST_x0020_ONLY" ma:readOnly="fals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ada8392b-dc98-451e-8434-fd5d9b2c1940" ContentTypeId="0x0101005C1F0E1F7D76D944AAE852963BF785A3" PreviousValue="false" LastSyncTimeStamp="2022-04-27T00:46:00.963Z"/>
</file>

<file path=customXml/itemProps1.xml><?xml version="1.0" encoding="utf-8"?>
<ds:datastoreItem xmlns:ds="http://schemas.openxmlformats.org/officeDocument/2006/customXml" ds:itemID="{41DCC496-D073-454C-91CF-C4EFDDBAB29E}">
  <ds:schemaRefs>
    <ds:schemaRef ds:uri="http://schemas.microsoft.com/sharepoint/v3/contenttype/forms"/>
  </ds:schemaRefs>
</ds:datastoreItem>
</file>

<file path=customXml/itemProps2.xml><?xml version="1.0" encoding="utf-8"?>
<ds:datastoreItem xmlns:ds="http://schemas.openxmlformats.org/officeDocument/2006/customXml" ds:itemID="{1A5179E8-A8A2-4223-9C23-0EB8BA1F6577}">
  <ds:schemaRefs>
    <ds:schemaRef ds:uri="ae17465a-db9c-442d-bc95-c0e050eb59ca"/>
    <ds:schemaRef ds:uri="http://purl.org/dc/elements/1.1/"/>
    <ds:schemaRef ds:uri="http://schemas.microsoft.com/office/2006/metadata/properties"/>
    <ds:schemaRef ds:uri="cf3ed1c8-3a88-4ceb-9720-04f99e8f5a90"/>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B8B442A2-9EC4-47D9-9275-FE9AD3351590}"/>
</file>

<file path=customXml/itemProps4.xml><?xml version="1.0" encoding="utf-8"?>
<ds:datastoreItem xmlns:ds="http://schemas.openxmlformats.org/officeDocument/2006/customXml" ds:itemID="{620F2416-EB89-438B-8BA9-D395FC6A4E0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Contents</vt:lpstr>
      <vt:lpstr>Table 1</vt:lpstr>
      <vt:lpstr>Table 2</vt:lpstr>
      <vt:lpstr>Table 3</vt:lpstr>
      <vt:lpstr>Table 4</vt:lpstr>
      <vt:lpstr>Table 5</vt:lpstr>
      <vt:lpstr>Table 6</vt:lpstr>
      <vt:lpstr>'Table 1'!Print_Titles</vt:lpstr>
      <vt:lpstr>'Table 2'!Print_Titles</vt:lpstr>
      <vt:lpstr>'Table 3'!Print_Titles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Rebekah Hennessey</cp:lastModifiedBy>
  <cp:revision/>
  <cp:lastPrinted>2020-09-21T00:31:15Z</cp:lastPrinted>
  <dcterms:created xsi:type="dcterms:W3CDTF">2020-05-14T00:48:29Z</dcterms:created>
  <dcterms:modified xsi:type="dcterms:W3CDTF">2025-04-08T03:20:06Z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0x0101005C1F0E1F7D76D944AAE852963BF785A30054EF6807C1F1DA4090AFA33FFEE8F5B1</vt:lpwstr>
  </property>
  <property fmtid="{D5CDD505-2E9C-101B-9397-08002B2CF9AE}" pid="3" name="Function (F)">
    <vt:i4>2</vt:i4>
  </property>
  <property fmtid="{D5CDD505-2E9C-101B-9397-08002B2CF9AE}" pid="4" name="Activity (F)">
    <vt:i4>3</vt:i4>
  </property>
  <property fmtid="{D5CDD505-2E9C-101B-9397-08002B2CF9AE}" pid="5" name="Protective Marking (F)">
    <vt:i4>1</vt:i4>
  </property>
</Properties>
</file>